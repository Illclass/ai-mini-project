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출처표" sheetId="1" state="visible" r:id="rId1"/>
    <sheet xmlns:r="http://schemas.openxmlformats.org/officeDocument/2006/relationships" name="요약" sheetId="2" state="visible" r:id="rId2"/>
  </sheets>
  <definedNames>
    <definedName name="_xlnm._FilterDatabase" localSheetId="0" hidden="1">'출처표'!$A$1:$M$27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Noto Sans CJK SC"/>
      <family val="2"/>
      <sz val="10"/>
    </font>
    <font>
      <name val="Arial"/>
      <charset val="1"/>
      <family val="0"/>
      <color rgb="FF0563C1"/>
      <sz val="10"/>
      <u val="single"/>
    </font>
    <font>
      <name val="Noto Sans CJK SC"/>
      <family val="2"/>
      <color rgb="FF0000FF"/>
      <sz val="10"/>
    </font>
    <font>
      <name val="Noto Sans CJK SC"/>
      <family val="2"/>
      <b val="1"/>
      <sz val="14"/>
    </font>
    <font>
      <name val="Noto Sans CJK SC"/>
      <family val="2"/>
      <b val="1"/>
      <sz val="10"/>
    </font>
    <font>
      <name val="Arial"/>
      <charset val="1"/>
      <family val="0"/>
      <b val="1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</fonts>
  <fills count="6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AF1FB"/>
        <bgColor rgb="FFEEF7EA"/>
      </patternFill>
    </fill>
    <fill>
      <patternFill patternType="solid">
        <fgColor rgb="FFEEF7EA"/>
        <bgColor rgb="FFEAF1FB"/>
      </patternFill>
    </fill>
    <fill>
      <patternFill patternType="solid">
        <fgColor rgb="FFFFF6E5"/>
        <bgColor rgb="FFEEF7EA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9" fontId="12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9" fontId="12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AF1FB"/>
          <bgColor rgb="FF000000"/>
        </patternFill>
      </fill>
    </dxf>
    <dxf>
      <fill>
        <patternFill patternType="solid">
          <fgColor rgb="FFEEF7EA"/>
          <bgColor rgb="FF000000"/>
        </patternFill>
      </fill>
    </dxf>
    <dxf>
      <fill>
        <patternFill patternType="solid">
          <fgColor rgb="FFFFF6E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6E5"/>
      <rgbColor rgb="FFEAF1FB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7E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aw.go.kr/" TargetMode="External" Id="rId1"/><Relationship Type="http://schemas.openxmlformats.org/officeDocument/2006/relationships/hyperlink" Target="https://www.law.go.kr/" TargetMode="External" Id="rId2"/><Relationship Type="http://schemas.openxmlformats.org/officeDocument/2006/relationships/hyperlink" Target="https://www.law.go.kr/" TargetMode="External" Id="rId3"/><Relationship Type="http://schemas.openxmlformats.org/officeDocument/2006/relationships/hyperlink" Target="https://www.law.go.kr/" TargetMode="External" Id="rId4"/><Relationship Type="http://schemas.openxmlformats.org/officeDocument/2006/relationships/hyperlink" Target="https://www.law.go.kr/" TargetMode="External" Id="rId5"/><Relationship Type="http://schemas.openxmlformats.org/officeDocument/2006/relationships/hyperlink" Target="https://www.kosha.or.kr/" TargetMode="External" Id="rId6"/><Relationship Type="http://schemas.openxmlformats.org/officeDocument/2006/relationships/hyperlink" Target="https://www.kosha.or.kr/" TargetMode="External" Id="rId7"/><Relationship Type="http://schemas.openxmlformats.org/officeDocument/2006/relationships/hyperlink" Target="https://www.kosha.or.kr/" TargetMode="External" Id="rId8"/><Relationship Type="http://schemas.openxmlformats.org/officeDocument/2006/relationships/hyperlink" Target="https://www.kosha.or.kr/" TargetMode="External" Id="rId9"/><Relationship Type="http://schemas.openxmlformats.org/officeDocument/2006/relationships/hyperlink" Target="https://www.kosha.or.kr/" TargetMode="External" Id="rId10"/><Relationship Type="http://schemas.openxmlformats.org/officeDocument/2006/relationships/hyperlink" Target="https://www.kosha.or.kr/" TargetMode="External" Id="rId11"/><Relationship Type="http://schemas.openxmlformats.org/officeDocument/2006/relationships/hyperlink" Target="https://www.kosha.or.kr/" TargetMode="External" Id="rId12"/><Relationship Type="http://schemas.openxmlformats.org/officeDocument/2006/relationships/hyperlink" Target="https://www.kosha.or.kr/" TargetMode="External" Id="rId13"/><Relationship Type="http://schemas.openxmlformats.org/officeDocument/2006/relationships/hyperlink" Target="https://www.sigmaaldrich.com/KR/ko" TargetMode="External" Id="rId14"/><Relationship Type="http://schemas.openxmlformats.org/officeDocument/2006/relationships/hyperlink" Target="https://www.sigmaaldrich.com/KR/ko" TargetMode="External" Id="rId15"/><Relationship Type="http://schemas.openxmlformats.org/officeDocument/2006/relationships/hyperlink" Target="https://www.sigmaaldrich.com/KR/ko" TargetMode="External" Id="rId16"/><Relationship Type="http://schemas.openxmlformats.org/officeDocument/2006/relationships/hyperlink" Target="https://www.sigmaaldrich.com/KR/ko" TargetMode="External" Id="rId17"/><Relationship Type="http://schemas.openxmlformats.org/officeDocument/2006/relationships/hyperlink" Target="https://www.sigmaaldrich.com/KR/ko" TargetMode="External" Id="rId18"/><Relationship Type="http://schemas.openxmlformats.org/officeDocument/2006/relationships/hyperlink" Target="https://www.sigmaaldrich.com/KR/ko" TargetMode="External" Id="rId19"/><Relationship Type="http://schemas.openxmlformats.org/officeDocument/2006/relationships/hyperlink" Target="https://www.sigmaaldrich.com/KR/ko" TargetMode="External" Id="rId20"/><Relationship Type="http://schemas.openxmlformats.org/officeDocument/2006/relationships/hyperlink" Target="https://www.sigmaaldrich.com/KR/ko" TargetMode="External" Id="rId21"/><Relationship Type="http://schemas.openxmlformats.org/officeDocument/2006/relationships/hyperlink" Target="https://www.sigmaaldrich.com/KR/ko" TargetMode="External" Id="rId22"/><Relationship Type="http://schemas.openxmlformats.org/officeDocument/2006/relationships/hyperlink" Target="https://www.sigmaaldrich.com/KR/ko" TargetMode="External" Id="rId23"/><Relationship Type="http://schemas.openxmlformats.org/officeDocument/2006/relationships/hyperlink" Target="https://www.sigmaaldrich.com/KR/ko" TargetMode="External" Id="rId24"/><Relationship Type="http://schemas.openxmlformats.org/officeDocument/2006/relationships/hyperlink" Target="https://www.sigmaaldrich.com/KR/ko" TargetMode="External" Id="rId25"/><Relationship Type="http://schemas.openxmlformats.org/officeDocument/2006/relationships/hyperlink" Target="https://www.sigmaaldrich.com/KR/ko" TargetMode="External" Id="rId26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0" min="1" max="1"/>
    <col width="12" customWidth="1" style="20" min="2" max="2"/>
    <col width="48" customWidth="1" style="20" min="3" max="3"/>
    <col width="38" customWidth="1" style="20" min="4" max="4"/>
    <col width="20" customWidth="1" style="20" min="5" max="5"/>
    <col width="13" customWidth="1" style="20" min="6" max="6"/>
    <col width="20" customWidth="1" style="20" min="7" max="7"/>
    <col width="15" customWidth="1" style="20" min="8" max="8"/>
    <col width="18" customWidth="1" style="20" min="9" max="9"/>
    <col width="12" customWidth="1" style="20" min="10" max="10"/>
    <col width="30" customWidth="1" style="20" min="11" max="11"/>
    <col width="11" customWidth="1" style="20" min="12" max="12"/>
    <col width="36" customWidth="1" style="20" min="13" max="13"/>
  </cols>
  <sheetData>
    <row r="1" ht="30" customHeight="1" s="21">
      <c r="A1" s="22" t="inlineStr">
        <is>
          <t>문서 ID</t>
        </is>
      </c>
      <c r="B1" s="22" t="inlineStr">
        <is>
          <t>구분</t>
        </is>
      </c>
      <c r="C1" s="22" t="inlineStr">
        <is>
          <t>문서명</t>
        </is>
      </c>
      <c r="D1" s="22" t="inlineStr">
        <is>
          <t>파일명(data/ 안)</t>
        </is>
      </c>
      <c r="E1" s="22" t="inlineStr">
        <is>
          <t>발행처</t>
        </is>
      </c>
      <c r="F1" s="22" t="inlineStr">
        <is>
          <t>개정·시행일</t>
        </is>
      </c>
      <c r="G1" s="22" t="inlineStr">
        <is>
          <t>적재 범위(--only)</t>
        </is>
      </c>
      <c r="H1" s="22" t="inlineStr">
        <is>
          <t>인덱스</t>
        </is>
      </c>
      <c r="I1" s="23" t="inlineStr">
        <is>
          <t>product_id</t>
        </is>
      </c>
      <c r="J1" s="23" t="inlineStr">
        <is>
          <t>CAS 번호</t>
        </is>
      </c>
      <c r="K1" s="22" t="inlineStr">
        <is>
          <t>출처 링크</t>
        </is>
      </c>
      <c r="L1" s="22" t="inlineStr">
        <is>
          <t>적재 상태</t>
        </is>
      </c>
      <c r="M1" s="22" t="inlineStr">
        <is>
          <t>비고</t>
        </is>
      </c>
    </row>
    <row r="2" ht="15" customHeight="1" s="21">
      <c r="A2" s="24" t="inlineStr">
        <is>
          <t>L1</t>
        </is>
      </c>
      <c r="B2" s="25" t="inlineStr">
        <is>
          <t>법령</t>
        </is>
      </c>
      <c r="C2" s="26" t="inlineStr">
        <is>
          <t>산업안전보건법</t>
        </is>
      </c>
      <c r="D2" s="26" t="inlineStr">
        <is>
          <t>L1_산안법.pdf</t>
        </is>
      </c>
      <c r="E2" s="26" t="inlineStr">
        <is>
          <t>국가법령정보센터</t>
        </is>
      </c>
      <c r="F2" s="27" t="inlineStr">
        <is>
          <t>2026-08-01</t>
        </is>
      </c>
      <c r="G2" s="27" t="inlineStr">
        <is>
          <t>110-116</t>
        </is>
      </c>
      <c r="H2" s="27" t="inlineStr">
        <is>
          <t>faiss_db/law</t>
        </is>
      </c>
      <c r="I2" s="27" t="n"/>
      <c r="J2" s="27" t="n"/>
      <c r="K2" s="28" t="inlineStr">
        <is>
          <t>https://www.law.go.kr</t>
        </is>
      </c>
      <c r="L2" s="29" t="inlineStr">
        <is>
          <t>적재 완료</t>
        </is>
      </c>
      <c r="M2" s="27" t="inlineStr">
        <is>
          <t>MSDS 관련 제110~116조 / source_url 비어 있음</t>
        </is>
      </c>
    </row>
    <row r="3" ht="15" customHeight="1" s="21">
      <c r="A3" s="24" t="inlineStr">
        <is>
          <t>L1</t>
        </is>
      </c>
      <c r="B3" s="25" t="inlineStr">
        <is>
          <t>법령</t>
        </is>
      </c>
      <c r="C3" s="26" t="inlineStr">
        <is>
          <t>산업안전보건기준에 관한 규칙</t>
        </is>
      </c>
      <c r="D3" s="26" t="inlineStr">
        <is>
          <t>L1_안전보건규칙.pdf</t>
        </is>
      </c>
      <c r="E3" s="26" t="inlineStr">
        <is>
          <t>국가법령정보센터</t>
        </is>
      </c>
      <c r="F3" s="27" t="inlineStr">
        <is>
          <t>2026-03-02</t>
        </is>
      </c>
      <c r="G3" s="27" t="inlineStr">
        <is>
          <t>31-34,299,420-511</t>
        </is>
      </c>
      <c r="H3" s="27" t="inlineStr">
        <is>
          <t>faiss_db/law</t>
        </is>
      </c>
      <c r="I3" s="27" t="n"/>
      <c r="J3" s="27" t="n"/>
      <c r="K3" s="28" t="inlineStr">
        <is>
          <t>https://www.law.go.kr</t>
        </is>
      </c>
      <c r="L3" s="29" t="inlineStr">
        <is>
          <t>적재 완료</t>
        </is>
      </c>
      <c r="M3" s="26" t="inlineStr">
        <is>
          <t>제515조(난청)는 범위 밖 / source_url 비어 있음</t>
        </is>
      </c>
    </row>
    <row r="4" ht="15" customHeight="1" s="21">
      <c r="A4" s="24" t="inlineStr">
        <is>
          <t>L1</t>
        </is>
      </c>
      <c r="B4" s="25" t="inlineStr">
        <is>
          <t>법령</t>
        </is>
      </c>
      <c r="C4" s="26" t="inlineStr">
        <is>
          <t>산업안전보건법 시행규칙</t>
        </is>
      </c>
      <c r="D4" s="26" t="inlineStr">
        <is>
          <t>L1_시행규칙.pdf</t>
        </is>
      </c>
      <c r="E4" s="26" t="inlineStr">
        <is>
          <t>국가법령정보센터</t>
        </is>
      </c>
      <c r="F4" s="27" t="inlineStr">
        <is>
          <t>2026-08-01</t>
        </is>
      </c>
      <c r="G4" s="27" t="inlineStr">
        <is>
          <t>156-171</t>
        </is>
      </c>
      <c r="H4" s="27" t="inlineStr">
        <is>
          <t>faiss_db/law</t>
        </is>
      </c>
      <c r="I4" s="27" t="n"/>
      <c r="J4" s="27" t="n"/>
      <c r="K4" s="28" t="inlineStr">
        <is>
          <t>https://www.law.go.kr</t>
        </is>
      </c>
      <c r="L4" s="29" t="inlineStr">
        <is>
          <t>적재 완료</t>
        </is>
      </c>
      <c r="M4" s="26" t="inlineStr">
        <is>
          <t>고용노동부령 제477호, MSDS·경고표시·교육 / source_url 비어 있음</t>
        </is>
      </c>
    </row>
    <row r="5" ht="15" customHeight="1" s="21">
      <c r="A5" s="24" t="inlineStr">
        <is>
          <t>L2</t>
        </is>
      </c>
      <c r="B5" s="25" t="inlineStr">
        <is>
          <t>법령</t>
        </is>
      </c>
      <c r="C5" s="26" t="inlineStr">
        <is>
          <t>중대재해 처벌 등에 관한 법률</t>
        </is>
      </c>
      <c r="D5" s="26" t="inlineStr">
        <is>
          <t>L2_중대재해처벌법.pdf</t>
        </is>
      </c>
      <c r="E5" s="26" t="inlineStr">
        <is>
          <t>국가법령정보센터</t>
        </is>
      </c>
      <c r="F5" s="27" t="inlineStr">
        <is>
          <t>2022-01-27</t>
        </is>
      </c>
      <c r="G5" s="26" t="inlineStr">
        <is>
          <t>전체</t>
        </is>
      </c>
      <c r="H5" s="27" t="inlineStr">
        <is>
          <t>faiss_db/law</t>
        </is>
      </c>
      <c r="I5" s="27" t="n"/>
      <c r="J5" s="27" t="n"/>
      <c r="K5" s="28" t="inlineStr">
        <is>
          <t>https://www.law.go.kr</t>
        </is>
      </c>
      <c r="L5" s="29" t="inlineStr">
        <is>
          <t>적재 완료</t>
        </is>
      </c>
      <c r="M5" s="26" t="inlineStr">
        <is>
          <t>법률 제17907호, 호 단위 분할 58청크</t>
        </is>
      </c>
    </row>
    <row r="6" ht="15" customHeight="1" s="21">
      <c r="A6" s="24" t="inlineStr">
        <is>
          <t>L3</t>
        </is>
      </c>
      <c r="B6" s="25" t="inlineStr">
        <is>
          <t>법령</t>
        </is>
      </c>
      <c r="C6" s="26" t="inlineStr">
        <is>
          <t>화학물질관리법</t>
        </is>
      </c>
      <c r="D6" s="26" t="inlineStr">
        <is>
          <t>L3_화관법.pdf</t>
        </is>
      </c>
      <c r="E6" s="26" t="inlineStr">
        <is>
          <t>국가법령정보센터</t>
        </is>
      </c>
      <c r="F6" s="27" t="inlineStr">
        <is>
          <t>2026-10-08</t>
        </is>
      </c>
      <c r="G6" s="26" t="inlineStr">
        <is>
          <t>전체</t>
        </is>
      </c>
      <c r="H6" s="27" t="inlineStr">
        <is>
          <t>faiss_db/law</t>
        </is>
      </c>
      <c r="I6" s="27" t="n"/>
      <c r="J6" s="27" t="n"/>
      <c r="K6" s="28" t="inlineStr">
        <is>
          <t>https://www.law.go.kr</t>
        </is>
      </c>
      <c r="L6" s="29" t="inlineStr">
        <is>
          <t>적재 완료</t>
        </is>
      </c>
      <c r="M6" s="26" t="inlineStr">
        <is>
          <t>원문 시행 2026-10-08 / source_url 비어 있음</t>
        </is>
      </c>
    </row>
    <row r="7" ht="15" customHeight="1" s="21">
      <c r="A7" s="30" t="inlineStr">
        <is>
          <t>K1</t>
        </is>
      </c>
      <c r="B7" s="30" t="inlineStr">
        <is>
          <t>KOSHA 지침</t>
        </is>
      </c>
      <c r="C7" s="27" t="inlineStr">
        <is>
          <t>K-1-2023 유해화학물질 저장 운반 및 취급에 관한 기술지침</t>
        </is>
      </c>
      <c r="D7" s="27" t="inlineStr">
        <is>
          <t>K1_화학물질저장.pdf</t>
        </is>
      </c>
      <c r="E7" s="26" t="inlineStr">
        <is>
          <t>한국산업안전보건공단</t>
        </is>
      </c>
      <c r="F7" s="27" t="inlineStr">
        <is>
          <t>2023</t>
        </is>
      </c>
      <c r="G7" s="26" t="inlineStr">
        <is>
          <t>전체</t>
        </is>
      </c>
      <c r="H7" s="27" t="inlineStr">
        <is>
          <t>faiss_db/msds</t>
        </is>
      </c>
      <c r="I7" s="27" t="n"/>
      <c r="J7" s="27" t="n"/>
      <c r="K7" s="28" t="inlineStr">
        <is>
          <t>https://www.kosha.or.kr</t>
        </is>
      </c>
      <c r="L7" s="29" t="inlineStr">
        <is>
          <t>적재 완료</t>
        </is>
      </c>
      <c r="M7" s="27" t="n"/>
    </row>
    <row r="8" ht="15" customHeight="1" s="21">
      <c r="A8" s="30" t="inlineStr">
        <is>
          <t>K2</t>
        </is>
      </c>
      <c r="B8" s="30" t="inlineStr">
        <is>
          <t>KOSHA 지침</t>
        </is>
      </c>
      <c r="C8" s="27" t="inlineStr">
        <is>
          <t>G-9-2013 위험물질 취급작업장 위험표시에 관한 기술지침</t>
        </is>
      </c>
      <c r="D8" s="27" t="inlineStr">
        <is>
          <t>K2_위험표시.pdf</t>
        </is>
      </c>
      <c r="E8" s="26" t="inlineStr">
        <is>
          <t>한국산업안전보건공단</t>
        </is>
      </c>
      <c r="F8" s="27" t="inlineStr">
        <is>
          <t>2013-11</t>
        </is>
      </c>
      <c r="G8" s="26" t="inlineStr">
        <is>
          <t>전체</t>
        </is>
      </c>
      <c r="H8" s="27" t="inlineStr">
        <is>
          <t>faiss_db/msds</t>
        </is>
      </c>
      <c r="I8" s="27" t="n"/>
      <c r="J8" s="27" t="n"/>
      <c r="K8" s="28" t="inlineStr">
        <is>
          <t>https://www.kosha.or.kr</t>
        </is>
      </c>
      <c r="L8" s="29" t="inlineStr">
        <is>
          <t>적재 완료</t>
        </is>
      </c>
      <c r="M8" s="26" t="inlineStr">
        <is>
          <t>위험표시·경고표지 내용, 9청크</t>
        </is>
      </c>
    </row>
    <row r="9" ht="15" customHeight="1" s="21">
      <c r="A9" s="30" t="inlineStr">
        <is>
          <t>K3</t>
        </is>
      </c>
      <c r="B9" s="30" t="inlineStr">
        <is>
          <t>KOSHA 지침</t>
        </is>
      </c>
      <c r="C9" s="27" t="inlineStr">
        <is>
          <t>G-12-2013 개인보호구의 사용 및 관리에 관한 기술지침</t>
        </is>
      </c>
      <c r="D9" s="27" t="inlineStr">
        <is>
          <t>K3_개인보호구.pdf</t>
        </is>
      </c>
      <c r="E9" s="26" t="inlineStr">
        <is>
          <t>한국산업안전보건공단</t>
        </is>
      </c>
      <c r="F9" s="27" t="inlineStr">
        <is>
          <t>2013-08-30</t>
        </is>
      </c>
      <c r="G9" s="26" t="inlineStr">
        <is>
          <t>전체</t>
        </is>
      </c>
      <c r="H9" s="27" t="inlineStr">
        <is>
          <t>faiss_db/msds</t>
        </is>
      </c>
      <c r="I9" s="27" t="n"/>
      <c r="J9" s="27" t="n"/>
      <c r="K9" s="28" t="inlineStr">
        <is>
          <t>https://www.kosha.or.kr</t>
        </is>
      </c>
      <c r="L9" s="29" t="inlineStr">
        <is>
          <t>적재 완료</t>
        </is>
      </c>
      <c r="M9" s="26" t="inlineStr">
        <is>
          <t>공표일 기준</t>
        </is>
      </c>
    </row>
    <row r="10" ht="15" customHeight="1" s="21">
      <c r="A10" s="30" t="inlineStr">
        <is>
          <t>K4</t>
        </is>
      </c>
      <c r="B10" s="30" t="inlineStr">
        <is>
          <t>KOSHA 지침</t>
        </is>
      </c>
      <c r="C10" s="27" t="inlineStr">
        <is>
          <t>W-14-2020 경고표지 작성 지침</t>
        </is>
      </c>
      <c r="D10" s="27" t="inlineStr">
        <is>
          <t>K4_경고표지.pdf</t>
        </is>
      </c>
      <c r="E10" s="26" t="inlineStr">
        <is>
          <t>한국산업안전보건공단</t>
        </is>
      </c>
      <c r="F10" s="27" t="inlineStr">
        <is>
          <t>2020-12</t>
        </is>
      </c>
      <c r="G10" s="26" t="inlineStr">
        <is>
          <t>전체</t>
        </is>
      </c>
      <c r="H10" s="27" t="inlineStr">
        <is>
          <t>faiss_db/msds</t>
        </is>
      </c>
      <c r="I10" s="27" t="n"/>
      <c r="J10" s="27" t="n"/>
      <c r="K10" s="28" t="inlineStr">
        <is>
          <t>https://www.kosha.or.kr</t>
        </is>
      </c>
      <c r="L10" s="29" t="inlineStr">
        <is>
          <t>적재 완료</t>
        </is>
      </c>
      <c r="M10" s="27" t="n"/>
    </row>
    <row r="11" ht="15" customHeight="1" s="21">
      <c r="A11" s="30" t="inlineStr">
        <is>
          <t>K5</t>
        </is>
      </c>
      <c r="B11" s="30" t="inlineStr">
        <is>
          <t>KOSHA 지침</t>
        </is>
      </c>
      <c r="C11" s="27" t="inlineStr">
        <is>
          <t>W-15-2020 물질안전보건자료 작성 지침</t>
        </is>
      </c>
      <c r="D11" s="27" t="inlineStr">
        <is>
          <t>K5_MSDS작성.pdf</t>
        </is>
      </c>
      <c r="E11" s="26" t="inlineStr">
        <is>
          <t>한국산업안전보건공단</t>
        </is>
      </c>
      <c r="F11" s="27" t="inlineStr">
        <is>
          <t>2020-12</t>
        </is>
      </c>
      <c r="G11" s="26" t="inlineStr">
        <is>
          <t>전체</t>
        </is>
      </c>
      <c r="H11" s="27" t="inlineStr">
        <is>
          <t>faiss_db/msds</t>
        </is>
      </c>
      <c r="I11" s="27" t="n"/>
      <c r="J11" s="27" t="n"/>
      <c r="K11" s="28" t="inlineStr">
        <is>
          <t>https://www.kosha.or.kr</t>
        </is>
      </c>
      <c r="L11" s="29" t="inlineStr">
        <is>
          <t>적재 완료</t>
        </is>
      </c>
      <c r="M11" s="27" t="inlineStr">
        <is>
          <t>section 이름이 거침(본문 번호목록을 제목으로 인식)</t>
        </is>
      </c>
    </row>
    <row r="12" ht="15" customHeight="1" s="21">
      <c r="A12" s="30" t="inlineStr">
        <is>
          <t>K6</t>
        </is>
      </c>
      <c r="B12" s="30" t="inlineStr">
        <is>
          <t>KOSHA 지침</t>
        </is>
      </c>
      <c r="C12" s="27" t="inlineStr">
        <is>
          <t>W-16-2020 화학물질의 유해성·위험성 분류 지침</t>
        </is>
      </c>
      <c r="D12" s="27" t="inlineStr">
        <is>
          <t>K6_유해성분류.pdf</t>
        </is>
      </c>
      <c r="E12" s="26" t="inlineStr">
        <is>
          <t>한국산업안전보건공단</t>
        </is>
      </c>
      <c r="F12" s="27" t="inlineStr">
        <is>
          <t>2020-12</t>
        </is>
      </c>
      <c r="G12" s="26" t="inlineStr">
        <is>
          <t>전체</t>
        </is>
      </c>
      <c r="H12" s="27" t="inlineStr">
        <is>
          <t>faiss_db/msds</t>
        </is>
      </c>
      <c r="I12" s="27" t="n"/>
      <c r="J12" s="27" t="n"/>
      <c r="K12" s="28" t="inlineStr">
        <is>
          <t>https://www.kosha.or.kr</t>
        </is>
      </c>
      <c r="L12" s="29" t="inlineStr">
        <is>
          <t>적재 완료</t>
        </is>
      </c>
      <c r="M12" s="27" t="inlineStr">
        <is>
          <t>77청크, section 이름이 거침(본문 번호목록을 제목으로 인식)</t>
        </is>
      </c>
    </row>
    <row r="13" ht="29.85" customHeight="1" s="21">
      <c r="A13" s="30" t="inlineStr">
        <is>
          <t>K7</t>
        </is>
      </c>
      <c r="B13" s="30" t="inlineStr">
        <is>
          <t>KOSHA 지침</t>
        </is>
      </c>
      <c r="C13" s="27" t="inlineStr">
        <is>
          <t>X-27-2012 화학물질 리스크 관리를 위한 작업공정별 관리요령에 관한 지침</t>
        </is>
      </c>
      <c r="D13" s="27" t="inlineStr">
        <is>
          <t>K7_리스크관리.pdf</t>
        </is>
      </c>
      <c r="E13" s="26" t="inlineStr">
        <is>
          <t>한국산업안전보건공단</t>
        </is>
      </c>
      <c r="F13" s="27" t="inlineStr">
        <is>
          <t>2012-06</t>
        </is>
      </c>
      <c r="G13" s="26" t="inlineStr">
        <is>
          <t>전체</t>
        </is>
      </c>
      <c r="H13" s="27" t="inlineStr">
        <is>
          <t>faiss_db/msds</t>
        </is>
      </c>
      <c r="I13" s="27" t="n"/>
      <c r="J13" s="27" t="n"/>
      <c r="K13" s="28" t="inlineStr">
        <is>
          <t>https://www.kosha.or.kr</t>
        </is>
      </c>
      <c r="L13" s="29" t="inlineStr">
        <is>
          <t>적재 완료</t>
        </is>
      </c>
      <c r="M13" s="27" t="n"/>
    </row>
    <row r="14" ht="29.85" customHeight="1" s="21">
      <c r="A14" s="30" t="inlineStr">
        <is>
          <t>K8</t>
        </is>
      </c>
      <c r="B14" s="30" t="inlineStr">
        <is>
          <t>KOSHA 지침</t>
        </is>
      </c>
      <c r="C14" s="27" t="inlineStr">
        <is>
          <t>H-123-2013 불산·불화수소 취급근로자의 중독 예방 및 응급대응 지침</t>
        </is>
      </c>
      <c r="D14" s="27" t="inlineStr">
        <is>
          <t>K8_불산지침.pdf</t>
        </is>
      </c>
      <c r="E14" s="26" t="inlineStr">
        <is>
          <t>한국산업안전보건공단</t>
        </is>
      </c>
      <c r="F14" s="27" t="inlineStr">
        <is>
          <t>2013-12</t>
        </is>
      </c>
      <c r="G14" s="26" t="inlineStr">
        <is>
          <t>전체</t>
        </is>
      </c>
      <c r="H14" s="27" t="inlineStr">
        <is>
          <t>faiss_db/msds</t>
        </is>
      </c>
      <c r="I14" s="27" t="n"/>
      <c r="J14" s="27" t="n"/>
      <c r="K14" s="28" t="inlineStr">
        <is>
          <t>https://www.kosha.or.kr</t>
        </is>
      </c>
      <c r="L14" s="29" t="inlineStr">
        <is>
          <t>적재 완료</t>
        </is>
      </c>
      <c r="M14" s="26" t="inlineStr">
        <is>
          <t>불산 응급대응 근거, 21청크</t>
        </is>
      </c>
    </row>
    <row r="15" ht="15" customHeight="1" s="21">
      <c r="A15" s="31" t="inlineStr">
        <is>
          <t>D1</t>
        </is>
      </c>
      <c r="B15" s="31" t="inlineStr">
        <is>
          <t>MSDS</t>
        </is>
      </c>
      <c r="C15" s="26" t="inlineStr">
        <is>
          <t>황산 MSDS (Sulfuric acid, Sigma-Aldrich Korea)</t>
        </is>
      </c>
      <c r="D15" s="26" t="inlineStr">
        <is>
          <t>D1_황산.pdf</t>
        </is>
      </c>
      <c r="E15" s="27" t="inlineStr">
        <is>
          <t>Sigma-Aldrich Korea</t>
        </is>
      </c>
      <c r="F15" s="27" t="inlineStr">
        <is>
          <t>2026-07-14</t>
        </is>
      </c>
      <c r="G15" s="27" t="inlineStr">
        <is>
          <t>16개 항목 전체</t>
        </is>
      </c>
      <c r="H15" s="27" t="inlineStr">
        <is>
          <t>faiss_db/msds</t>
        </is>
      </c>
      <c r="I15" s="27" t="inlineStr">
        <is>
          <t>sigma-339741</t>
        </is>
      </c>
      <c r="J15" s="27" t="inlineStr">
        <is>
          <t>7664-93-9</t>
        </is>
      </c>
      <c r="K15" s="28" t="inlineStr">
        <is>
          <t>https://www.sigmaaldrich.com/KR/ko</t>
        </is>
      </c>
      <c r="L15" s="29" t="inlineStr">
        <is>
          <t>적재 완료</t>
        </is>
      </c>
      <c r="M15" s="27" t="n"/>
    </row>
    <row r="16" ht="15" customHeight="1" s="21">
      <c r="A16" s="31" t="inlineStr">
        <is>
          <t>D2</t>
        </is>
      </c>
      <c r="B16" s="31" t="inlineStr">
        <is>
          <t>MSDS</t>
        </is>
      </c>
      <c r="C16" s="26" t="inlineStr">
        <is>
          <t>불산 MSDS (Hydrofluoric acid, Sigma-Aldrich Korea)</t>
        </is>
      </c>
      <c r="D16" s="26" t="inlineStr">
        <is>
          <t>D2_불산.pdf</t>
        </is>
      </c>
      <c r="E16" s="27" t="inlineStr">
        <is>
          <t>Sigma-Aldrich Korea</t>
        </is>
      </c>
      <c r="F16" s="27" t="inlineStr">
        <is>
          <t>2026-07-17</t>
        </is>
      </c>
      <c r="G16" s="27" t="inlineStr">
        <is>
          <t>16개 항목 전체</t>
        </is>
      </c>
      <c r="H16" s="27" t="inlineStr">
        <is>
          <t>faiss_db/msds</t>
        </is>
      </c>
      <c r="I16" s="27" t="inlineStr">
        <is>
          <t>sigma-695068</t>
        </is>
      </c>
      <c r="J16" s="27" t="inlineStr">
        <is>
          <t>7664-39-3</t>
        </is>
      </c>
      <c r="K16" s="28" t="inlineStr">
        <is>
          <t>https://www.sigmaaldrich.com/KR/ko</t>
        </is>
      </c>
      <c r="L16" s="29" t="inlineStr">
        <is>
          <t>적재 완료</t>
        </is>
      </c>
      <c r="M16" s="27" t="n"/>
    </row>
    <row r="17" ht="26.85" customHeight="1" s="21">
      <c r="A17" s="31" t="inlineStr">
        <is>
          <t>D3</t>
        </is>
      </c>
      <c r="B17" s="31" t="inlineStr">
        <is>
          <t>MSDS</t>
        </is>
      </c>
      <c r="C17" s="26" t="inlineStr">
        <is>
          <t>과산화수소 MSDS (Hydrogen peroxide 30%, Merck(Millipore))</t>
        </is>
      </c>
      <c r="D17" s="26" t="inlineStr">
        <is>
          <t>D3_과산화수소.pdf</t>
        </is>
      </c>
      <c r="E17" s="27" t="inlineStr">
        <is>
          <t>Merck(Millipore)</t>
        </is>
      </c>
      <c r="F17" s="27" t="inlineStr">
        <is>
          <t>2026-08-04</t>
        </is>
      </c>
      <c r="G17" s="27" t="inlineStr">
        <is>
          <t>16개 항목 전체</t>
        </is>
      </c>
      <c r="H17" s="27" t="inlineStr">
        <is>
          <t>faiss_db/msds</t>
        </is>
      </c>
      <c r="I17" s="27" t="inlineStr">
        <is>
          <t>merck-8.22287</t>
        </is>
      </c>
      <c r="J17" s="27" t="inlineStr">
        <is>
          <t>7722-84-1</t>
        </is>
      </c>
      <c r="K17" s="28" t="inlineStr">
        <is>
          <t>https://www.sigmaaldrich.com/KR/ko</t>
        </is>
      </c>
      <c r="L17" s="29" t="inlineStr">
        <is>
          <t>적재 완료</t>
        </is>
      </c>
      <c r="M17" s="26" t="inlineStr">
        <is>
          <t>공급자 Merck</t>
        </is>
      </c>
    </row>
    <row r="18" ht="26.85" customHeight="1" s="21">
      <c r="A18" s="31" t="inlineStr">
        <is>
          <t>D4</t>
        </is>
      </c>
      <c r="B18" s="31" t="inlineStr">
        <is>
          <t>MSDS</t>
        </is>
      </c>
      <c r="C18" s="26" t="inlineStr">
        <is>
          <t>암모니아수 MSDS (Ammonium hydroxide solution, Sigma-Aldrich Korea)</t>
        </is>
      </c>
      <c r="D18" s="26" t="inlineStr">
        <is>
          <t>D4_암모니아수.pdf</t>
        </is>
      </c>
      <c r="E18" s="27" t="inlineStr">
        <is>
          <t>Sigma-Aldrich Korea</t>
        </is>
      </c>
      <c r="F18" s="27" t="inlineStr">
        <is>
          <t>2026-07-09</t>
        </is>
      </c>
      <c r="G18" s="27" t="inlineStr">
        <is>
          <t>16개 항목 전체</t>
        </is>
      </c>
      <c r="H18" s="27" t="inlineStr">
        <is>
          <t>faiss_db/msds</t>
        </is>
      </c>
      <c r="I18" s="27" t="inlineStr">
        <is>
          <t>sigma-221228</t>
        </is>
      </c>
      <c r="J18" s="27" t="inlineStr">
        <is>
          <t>1336-21-6</t>
        </is>
      </c>
      <c r="K18" s="28" t="inlineStr">
        <is>
          <t>https://www.sigmaaldrich.com/KR/ko</t>
        </is>
      </c>
      <c r="L18" s="29" t="inlineStr">
        <is>
          <t>적재 완료</t>
        </is>
      </c>
      <c r="M18" s="26" t="n"/>
    </row>
    <row r="19" ht="15" customHeight="1" s="21">
      <c r="A19" s="31" t="inlineStr">
        <is>
          <t>D5</t>
        </is>
      </c>
      <c r="B19" s="31" t="inlineStr">
        <is>
          <t>MSDS</t>
        </is>
      </c>
      <c r="C19" s="26" t="inlineStr">
        <is>
          <t>염산 MSDS (Hydrochloric acid, Sigma-Aldrich Korea)</t>
        </is>
      </c>
      <c r="D19" s="26" t="inlineStr">
        <is>
          <t>D5_염산.pdf</t>
        </is>
      </c>
      <c r="E19" s="27" t="inlineStr">
        <is>
          <t>Sigma-Aldrich Korea</t>
        </is>
      </c>
      <c r="F19" s="27" t="inlineStr">
        <is>
          <t>2026-06-09</t>
        </is>
      </c>
      <c r="G19" s="27" t="inlineStr">
        <is>
          <t>16개 항목 전체</t>
        </is>
      </c>
      <c r="H19" s="27" t="inlineStr">
        <is>
          <t>faiss_db/msds</t>
        </is>
      </c>
      <c r="I19" s="27" t="inlineStr">
        <is>
          <t>sigma-258148</t>
        </is>
      </c>
      <c r="J19" s="27" t="inlineStr">
        <is>
          <t>7647-01-0</t>
        </is>
      </c>
      <c r="K19" s="28" t="inlineStr">
        <is>
          <t>https://www.sigmaaldrich.com/KR/ko</t>
        </is>
      </c>
      <c r="L19" s="29" t="inlineStr">
        <is>
          <t>적재 완료</t>
        </is>
      </c>
      <c r="M19" s="27" t="n"/>
    </row>
    <row r="20" ht="15" customHeight="1" s="21">
      <c r="A20" s="31" t="inlineStr">
        <is>
          <t>D6</t>
        </is>
      </c>
      <c r="B20" s="31" t="inlineStr">
        <is>
          <t>MSDS</t>
        </is>
      </c>
      <c r="C20" s="26" t="inlineStr">
        <is>
          <t>질산 MSDS (Nitric acid, Sigma-Aldrich Korea)</t>
        </is>
      </c>
      <c r="D20" s="26" t="inlineStr">
        <is>
          <t>D6_질산.pdf</t>
        </is>
      </c>
      <c r="E20" s="27" t="inlineStr">
        <is>
          <t>Sigma-Aldrich Korea</t>
        </is>
      </c>
      <c r="F20" s="27" t="inlineStr">
        <is>
          <t>2026-06-05</t>
        </is>
      </c>
      <c r="G20" s="27" t="inlineStr">
        <is>
          <t>16개 항목 전체</t>
        </is>
      </c>
      <c r="H20" s="27" t="inlineStr">
        <is>
          <t>faiss_db/msds</t>
        </is>
      </c>
      <c r="I20" s="27" t="inlineStr">
        <is>
          <t>sigma-438073</t>
        </is>
      </c>
      <c r="J20" s="27" t="inlineStr">
        <is>
          <t>7697-37-2</t>
        </is>
      </c>
      <c r="K20" s="28" t="inlineStr">
        <is>
          <t>https://www.sigmaaldrich.com/KR/ko</t>
        </is>
      </c>
      <c r="L20" s="29" t="inlineStr">
        <is>
          <t>적재 완료</t>
        </is>
      </c>
      <c r="M20" s="27" t="n"/>
    </row>
    <row r="21" ht="15" customHeight="1" s="21">
      <c r="A21" s="31" t="inlineStr">
        <is>
          <t>D7</t>
        </is>
      </c>
      <c r="B21" s="31" t="inlineStr">
        <is>
          <t>MSDS</t>
        </is>
      </c>
      <c r="C21" s="26" t="inlineStr">
        <is>
          <t>인산 MSDS (ortho-Phosphoric acid 85%, Merck(Millipore))</t>
        </is>
      </c>
      <c r="D21" s="26" t="inlineStr">
        <is>
          <t>D7_인산.pdf</t>
        </is>
      </c>
      <c r="E21" s="27" t="inlineStr">
        <is>
          <t>Merck(Millipore)</t>
        </is>
      </c>
      <c r="F21" s="27" t="inlineStr">
        <is>
          <t>2026-07-31</t>
        </is>
      </c>
      <c r="G21" s="27" t="inlineStr">
        <is>
          <t>16개 항목 전체</t>
        </is>
      </c>
      <c r="H21" s="27" t="inlineStr">
        <is>
          <t>faiss_db/msds</t>
        </is>
      </c>
      <c r="I21" s="27" t="inlineStr">
        <is>
          <t>merck-1.00573</t>
        </is>
      </c>
      <c r="J21" s="27" t="inlineStr">
        <is>
          <t>7664-38-2</t>
        </is>
      </c>
      <c r="K21" s="28" t="inlineStr">
        <is>
          <t>https://www.sigmaaldrich.com/KR/ko</t>
        </is>
      </c>
      <c r="L21" s="29" t="inlineStr">
        <is>
          <t>적재 완료</t>
        </is>
      </c>
      <c r="M21" s="26" t="inlineStr">
        <is>
          <t>공급자 Merck</t>
        </is>
      </c>
    </row>
    <row r="22" ht="23.85" customHeight="1" s="21">
      <c r="A22" s="31" t="inlineStr">
        <is>
          <t>D8</t>
        </is>
      </c>
      <c r="B22" s="31" t="inlineStr">
        <is>
          <t>MSDS</t>
        </is>
      </c>
      <c r="C22" s="27" t="inlineStr">
        <is>
          <t>TMAH MSDS (Tetramethylammonium hydroxide solution, Sigma-Aldrich Korea)</t>
        </is>
      </c>
      <c r="D22" s="27" t="inlineStr">
        <is>
          <t>D8_TMAH.pdf</t>
        </is>
      </c>
      <c r="E22" s="27" t="inlineStr">
        <is>
          <t>Sigma-Aldrich Korea</t>
        </is>
      </c>
      <c r="F22" s="27" t="inlineStr">
        <is>
          <t>2026-07-14</t>
        </is>
      </c>
      <c r="G22" s="27" t="inlineStr">
        <is>
          <t>16개 항목 전체</t>
        </is>
      </c>
      <c r="H22" s="27" t="inlineStr">
        <is>
          <t>faiss_db/msds</t>
        </is>
      </c>
      <c r="I22" s="27" t="inlineStr">
        <is>
          <t>sigma-328251</t>
        </is>
      </c>
      <c r="J22" s="27" t="inlineStr">
        <is>
          <t>75-59-2</t>
        </is>
      </c>
      <c r="K22" s="28" t="inlineStr">
        <is>
          <t>https://www.sigmaaldrich.com/KR/ko</t>
        </is>
      </c>
      <c r="L22" s="29" t="inlineStr">
        <is>
          <t>적재 완료</t>
        </is>
      </c>
      <c r="M22" s="27" t="n"/>
    </row>
    <row r="23" ht="15" customHeight="1" s="21">
      <c r="A23" s="31" t="inlineStr">
        <is>
          <t>D9</t>
        </is>
      </c>
      <c r="B23" s="31" t="inlineStr">
        <is>
          <t>MSDS</t>
        </is>
      </c>
      <c r="C23" s="26" t="inlineStr">
        <is>
          <t>아세톤 MSDS (Acetone, Sigma-Aldrich Korea)</t>
        </is>
      </c>
      <c r="D23" s="26" t="inlineStr">
        <is>
          <t>D9_아세톤.pdf</t>
        </is>
      </c>
      <c r="E23" s="27" t="inlineStr">
        <is>
          <t>Sigma-Aldrich Korea</t>
        </is>
      </c>
      <c r="F23" s="27" t="inlineStr">
        <is>
          <t>2026-07-14</t>
        </is>
      </c>
      <c r="G23" s="27" t="inlineStr">
        <is>
          <t>16개 항목 전체</t>
        </is>
      </c>
      <c r="H23" s="27" t="inlineStr">
        <is>
          <t>faiss_db/msds</t>
        </is>
      </c>
      <c r="I23" s="27" t="inlineStr">
        <is>
          <t>sigma-179124</t>
        </is>
      </c>
      <c r="J23" s="27" t="inlineStr">
        <is>
          <t>67-64-1</t>
        </is>
      </c>
      <c r="K23" s="28" t="inlineStr">
        <is>
          <t>https://www.sigmaaldrich.com/KR/ko</t>
        </is>
      </c>
      <c r="L23" s="29" t="inlineStr">
        <is>
          <t>적재 완료</t>
        </is>
      </c>
      <c r="M23" s="27" t="n"/>
    </row>
    <row r="24" ht="15" customHeight="1" s="21">
      <c r="A24" s="31" t="inlineStr">
        <is>
          <t>D10</t>
        </is>
      </c>
      <c r="B24" s="31" t="inlineStr">
        <is>
          <t>MSDS</t>
        </is>
      </c>
      <c r="C24" s="26" t="inlineStr">
        <is>
          <t>메탄올 MSDS (Methanol, Sigma-Aldrich Korea)</t>
        </is>
      </c>
      <c r="D24" s="26" t="inlineStr">
        <is>
          <t>D10_메탄올.pdf</t>
        </is>
      </c>
      <c r="E24" s="27" t="inlineStr">
        <is>
          <t>Sigma-Aldrich Korea</t>
        </is>
      </c>
      <c r="F24" s="27" t="inlineStr">
        <is>
          <t>2026-07-01</t>
        </is>
      </c>
      <c r="G24" s="27" t="inlineStr">
        <is>
          <t>16개 항목 전체</t>
        </is>
      </c>
      <c r="H24" s="27" t="inlineStr">
        <is>
          <t>faiss_db/msds</t>
        </is>
      </c>
      <c r="I24" s="27" t="inlineStr">
        <is>
          <t>sigma-34860</t>
        </is>
      </c>
      <c r="J24" s="27" t="inlineStr">
        <is>
          <t>67-56-1</t>
        </is>
      </c>
      <c r="K24" s="28" t="inlineStr">
        <is>
          <t>https://www.sigmaaldrich.com/KR/ko</t>
        </is>
      </c>
      <c r="L24" s="29" t="inlineStr">
        <is>
          <t>적재 완료</t>
        </is>
      </c>
      <c r="M24" s="26" t="n"/>
    </row>
    <row r="25" ht="26.85" customHeight="1" s="21">
      <c r="A25" s="31" t="inlineStr">
        <is>
          <t>D11</t>
        </is>
      </c>
      <c r="B25" s="31" t="inlineStr">
        <is>
          <t>MSDS</t>
        </is>
      </c>
      <c r="C25" s="27" t="inlineStr">
        <is>
          <t>IPA(이소프로판올) MSDS (Isopropanol, Sigma-Aldrich Korea)</t>
        </is>
      </c>
      <c r="D25" s="27" t="inlineStr">
        <is>
          <t>D11_IPA.pdf</t>
        </is>
      </c>
      <c r="E25" s="27" t="inlineStr">
        <is>
          <t>Sigma-Aldrich Korea</t>
        </is>
      </c>
      <c r="F25" s="27" t="inlineStr">
        <is>
          <t>2026-06-30</t>
        </is>
      </c>
      <c r="G25" s="27" t="inlineStr">
        <is>
          <t>16개 항목 전체</t>
        </is>
      </c>
      <c r="H25" s="27" t="inlineStr">
        <is>
          <t>faiss_db/msds</t>
        </is>
      </c>
      <c r="I25" s="27" t="inlineStr">
        <is>
          <t>sigma-563935</t>
        </is>
      </c>
      <c r="J25" s="27" t="inlineStr">
        <is>
          <t>67-63-0</t>
        </is>
      </c>
      <c r="K25" s="28" t="inlineStr">
        <is>
          <t>https://www.sigmaaldrich.com/KR/ko</t>
        </is>
      </c>
      <c r="L25" s="29" t="inlineStr">
        <is>
          <t>적재 완료</t>
        </is>
      </c>
      <c r="M25" s="26" t="inlineStr">
        <is>
          <t>함유량 70~75%의 희석 제품</t>
        </is>
      </c>
    </row>
    <row r="26" ht="23.85" customHeight="1" s="21">
      <c r="A26" s="31" t="inlineStr">
        <is>
          <t>D12</t>
        </is>
      </c>
      <c r="B26" s="31" t="inlineStr">
        <is>
          <t>MSDS</t>
        </is>
      </c>
      <c r="C26" s="27" t="inlineStr">
        <is>
          <t>PGMEA MSDS (Propylene glycol monomethyl ether acetate, Sigma-Aldrich Korea)</t>
        </is>
      </c>
      <c r="D26" s="27" t="inlineStr">
        <is>
          <t>D12_PGMEA.pdf</t>
        </is>
      </c>
      <c r="E26" s="27" t="inlineStr">
        <is>
          <t>Sigma-Aldrich Korea</t>
        </is>
      </c>
      <c r="F26" s="27" t="inlineStr">
        <is>
          <t>2026-07-14</t>
        </is>
      </c>
      <c r="G26" s="27" t="inlineStr">
        <is>
          <t>16개 항목 전체</t>
        </is>
      </c>
      <c r="H26" s="27" t="inlineStr">
        <is>
          <t>faiss_db/msds</t>
        </is>
      </c>
      <c r="I26" s="27" t="inlineStr">
        <is>
          <t>sigma-484431</t>
        </is>
      </c>
      <c r="J26" s="27" t="inlineStr">
        <is>
          <t>108-65-6</t>
        </is>
      </c>
      <c r="K26" s="28" t="inlineStr">
        <is>
          <t>https://www.sigmaaldrich.com/KR/ko</t>
        </is>
      </c>
      <c r="L26" s="29" t="inlineStr">
        <is>
          <t>적재 완료</t>
        </is>
      </c>
      <c r="M26" s="26" t="inlineStr">
        <is>
          <t>함유량 95% 이상</t>
        </is>
      </c>
    </row>
    <row r="27" ht="26.85" customHeight="1" s="21">
      <c r="A27" s="31" t="inlineStr">
        <is>
          <t>D13</t>
        </is>
      </c>
      <c r="B27" s="31" t="inlineStr">
        <is>
          <t>MSDS</t>
        </is>
      </c>
      <c r="C27" s="26" t="inlineStr">
        <is>
          <t>수산화나트륨 MSDS (Sodium hydroxide, Sigma-Aldrich Korea)</t>
        </is>
      </c>
      <c r="D27" s="26" t="inlineStr">
        <is>
          <t>D13_수산화나트륨.pdf</t>
        </is>
      </c>
      <c r="E27" s="27" t="inlineStr">
        <is>
          <t>Sigma-Aldrich Korea</t>
        </is>
      </c>
      <c r="F27" s="27" t="inlineStr">
        <is>
          <t>2026-07-09</t>
        </is>
      </c>
      <c r="G27" s="27" t="inlineStr">
        <is>
          <t>16개 항목 전체</t>
        </is>
      </c>
      <c r="H27" s="27" t="inlineStr">
        <is>
          <t>faiss_db/msds</t>
        </is>
      </c>
      <c r="I27" s="27" t="inlineStr">
        <is>
          <t>sigma-221465</t>
        </is>
      </c>
      <c r="J27" s="27" t="inlineStr">
        <is>
          <t>1310-73-2</t>
        </is>
      </c>
      <c r="K27" s="28" t="inlineStr">
        <is>
          <t>https://www.sigmaaldrich.com/KR/ko</t>
        </is>
      </c>
      <c r="L27" s="29" t="inlineStr">
        <is>
          <t>적재 완료</t>
        </is>
      </c>
      <c r="M27" s="27" t="n"/>
    </row>
  </sheetData>
  <autoFilter ref="A1:M27"/>
  <hyperlinks>
    <hyperlink xmlns:r="http://schemas.openxmlformats.org/officeDocument/2006/relationships" ref="K2" display="https://www.law.go.kr" r:id="rId1"/>
    <hyperlink xmlns:r="http://schemas.openxmlformats.org/officeDocument/2006/relationships" ref="K3" display="https://www.law.go.kr" r:id="rId2"/>
    <hyperlink xmlns:r="http://schemas.openxmlformats.org/officeDocument/2006/relationships" ref="K4" display="https://www.law.go.kr" r:id="rId3"/>
    <hyperlink xmlns:r="http://schemas.openxmlformats.org/officeDocument/2006/relationships" ref="K5" display="https://www.law.go.kr" r:id="rId4"/>
    <hyperlink xmlns:r="http://schemas.openxmlformats.org/officeDocument/2006/relationships" ref="K6" display="https://www.law.go.kr" r:id="rId5"/>
    <hyperlink xmlns:r="http://schemas.openxmlformats.org/officeDocument/2006/relationships" ref="K7" display="https://www.kosha.or.kr" r:id="rId6"/>
    <hyperlink xmlns:r="http://schemas.openxmlformats.org/officeDocument/2006/relationships" ref="K8" display="https://www.kosha.or.kr" r:id="rId7"/>
    <hyperlink xmlns:r="http://schemas.openxmlformats.org/officeDocument/2006/relationships" ref="K9" display="https://www.kosha.or.kr" r:id="rId8"/>
    <hyperlink xmlns:r="http://schemas.openxmlformats.org/officeDocument/2006/relationships" ref="K10" display="https://www.kosha.or.kr" r:id="rId9"/>
    <hyperlink xmlns:r="http://schemas.openxmlformats.org/officeDocument/2006/relationships" ref="K11" display="https://www.kosha.or.kr" r:id="rId10"/>
    <hyperlink xmlns:r="http://schemas.openxmlformats.org/officeDocument/2006/relationships" ref="K12" display="https://www.kosha.or.kr" r:id="rId11"/>
    <hyperlink xmlns:r="http://schemas.openxmlformats.org/officeDocument/2006/relationships" ref="K13" display="https://www.kosha.or.kr" r:id="rId12"/>
    <hyperlink xmlns:r="http://schemas.openxmlformats.org/officeDocument/2006/relationships" ref="K14" display="https://www.kosha.or.kr" r:id="rId13"/>
    <hyperlink xmlns:r="http://schemas.openxmlformats.org/officeDocument/2006/relationships" ref="K15" display="https://www.sigmaaldrich.com/KR/ko" r:id="rId14"/>
    <hyperlink xmlns:r="http://schemas.openxmlformats.org/officeDocument/2006/relationships" ref="K16" display="https://www.sigmaaldrich.com/KR/ko" r:id="rId15"/>
    <hyperlink xmlns:r="http://schemas.openxmlformats.org/officeDocument/2006/relationships" ref="K17" display="https://www.sigmaaldrich.com/KR/ko" r:id="rId16"/>
    <hyperlink xmlns:r="http://schemas.openxmlformats.org/officeDocument/2006/relationships" ref="K18" display="https://www.sigmaaldrich.com/KR/ko" r:id="rId17"/>
    <hyperlink xmlns:r="http://schemas.openxmlformats.org/officeDocument/2006/relationships" ref="K19" display="https://www.sigmaaldrich.com/KR/ko" r:id="rId18"/>
    <hyperlink xmlns:r="http://schemas.openxmlformats.org/officeDocument/2006/relationships" ref="K20" display="https://www.sigmaaldrich.com/KR/ko" r:id="rId19"/>
    <hyperlink xmlns:r="http://schemas.openxmlformats.org/officeDocument/2006/relationships" ref="K21" display="https://www.sigmaaldrich.com/KR/ko" r:id="rId20"/>
    <hyperlink xmlns:r="http://schemas.openxmlformats.org/officeDocument/2006/relationships" ref="K22" display="https://www.sigmaaldrich.com/KR/ko" r:id="rId21"/>
    <hyperlink xmlns:r="http://schemas.openxmlformats.org/officeDocument/2006/relationships" ref="K23" display="https://www.sigmaaldrich.com/KR/ko" r:id="rId22"/>
    <hyperlink xmlns:r="http://schemas.openxmlformats.org/officeDocument/2006/relationships" ref="K24" display="https://www.sigmaaldrich.com/KR/ko" r:id="rId23"/>
    <hyperlink xmlns:r="http://schemas.openxmlformats.org/officeDocument/2006/relationships" ref="K25" display="https://www.sigmaaldrich.com/KR/ko" r:id="rId24"/>
    <hyperlink xmlns:r="http://schemas.openxmlformats.org/officeDocument/2006/relationships" ref="K26" display="https://www.sigmaaldrich.com/KR/ko" r:id="rId25"/>
    <hyperlink xmlns:r="http://schemas.openxmlformats.org/officeDocument/2006/relationships" ref="K27" display="https://www.sigmaaldrich.com/KR/ko" r:id="rId2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0" min="1" max="1"/>
    <col width="14" customWidth="1" style="20" min="2" max="4"/>
  </cols>
  <sheetData>
    <row r="1" ht="17.35" customHeight="1" s="21">
      <c r="A1" s="32" t="inlineStr">
        <is>
          <t>데이터 출처 요약</t>
        </is>
      </c>
    </row>
    <row r="3" ht="15" customHeight="1" s="21">
      <c r="A3" s="33" t="inlineStr">
        <is>
          <t>구분</t>
        </is>
      </c>
      <c r="B3" s="33" t="inlineStr">
        <is>
          <t>파일 수</t>
        </is>
      </c>
      <c r="C3" s="33" t="inlineStr">
        <is>
          <t>적재 완료</t>
        </is>
      </c>
      <c r="D3" s="33" t="inlineStr">
        <is>
          <t>적재 완료 비율</t>
        </is>
      </c>
    </row>
    <row r="4" ht="15" customHeight="1" s="21">
      <c r="A4" s="34" t="inlineStr">
        <is>
          <t>법령</t>
        </is>
      </c>
      <c r="B4" s="34">
        <f>COUNTIF(출처표!$B$2:$B$27,A4)</f>
        <v/>
      </c>
      <c r="C4" s="34">
        <f>COUNTIFS(출처표!$B$2:$B$27,A4,출처표!$L$2:$L$27,"적재 완료")</f>
        <v/>
      </c>
      <c r="D4" s="35">
        <f>IF(B4=0,0,C4/B4)</f>
        <v/>
      </c>
    </row>
    <row r="5" ht="15" customHeight="1" s="21">
      <c r="A5" s="36" t="inlineStr">
        <is>
          <t>KOSHA 지침</t>
        </is>
      </c>
      <c r="B5" s="36">
        <f>COUNTIF(출처표!$B$2:$B$27,A5)</f>
        <v/>
      </c>
      <c r="C5" s="36">
        <f>COUNTIFS(출처표!$B$2:$B$27,A5,출처표!$L$2:$L$27,"적재 완료")</f>
        <v/>
      </c>
      <c r="D5" s="35">
        <f>IF(B5=0,0,C5/B5)</f>
        <v/>
      </c>
    </row>
    <row r="6" ht="15" customHeight="1" s="21">
      <c r="A6" s="36" t="inlineStr">
        <is>
          <t>MSDS</t>
        </is>
      </c>
      <c r="B6" s="36">
        <f>COUNTIF(출처표!$B$2:$B$27,A6)</f>
        <v/>
      </c>
      <c r="C6" s="36">
        <f>COUNTIFS(출처표!$B$2:$B$27,A6,출처표!$L$2:$L$27,"적재 완료")</f>
        <v/>
      </c>
      <c r="D6" s="35">
        <f>IF(B6=0,0,C6/B6)</f>
        <v/>
      </c>
    </row>
    <row r="7" ht="15" customHeight="1" s="21">
      <c r="A7" s="37" t="inlineStr">
        <is>
          <t>합계</t>
        </is>
      </c>
      <c r="B7" s="37">
        <f>SUM(B4:B6)</f>
        <v/>
      </c>
      <c r="C7" s="37">
        <f>SUM(C4:C6)</f>
        <v/>
      </c>
      <c r="D7" s="38">
        <f>IF(B7=0,0,C7/B7)</f>
        <v/>
      </c>
    </row>
    <row r="9" ht="15" customHeight="1" s="21">
      <c r="A9" s="39" t="inlineStr">
        <is>
          <t>교재 기준: 5~30개 (현재 26개)</t>
        </is>
      </c>
    </row>
    <row r="10" ht="15" customHeight="1" s="21">
      <c r="A10" s="40" t="inlineStr">
        <is>
          <t>'출처표'의 '적재 상태' 열을 '적재 완료'로 바꾸면 이 표가 자동으로 갱신돼요 (파란 글씨 = 직접 수정하는 칸).</t>
        </is>
      </c>
    </row>
    <row r="11" ht="15" customHeight="1" s="21">
      <c r="A11" s="39" t="inlineStr">
        <is>
          <t>메탄올 공급자는 확인이 필요해요. 날짜는 각 PDF에 적힌 개정일이에요.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2026-10-23T01:42:47Z</dcterms:created>
  <dcterms:modified xmlns:dcterms="http://purl.org/dc/terms/" xmlns:xsi="http://www.w3.org/2001/XMLSchema-instance" xsi:type="dcterms:W3CDTF">2026-10-23T03:21:19Z</dcterms:modified>
  <cp:revision>0</cp:revision>
</cp:coreProperties>
</file>