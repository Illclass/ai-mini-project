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출처표" sheetId="1" state="visible" r:id="rId3"/>
    <sheet name="요약" sheetId="2" state="visible" r:id="rId4"/>
  </sheets>
  <definedNames>
    <definedName function="false" hidden="true" localSheetId="0" name="_xlnm._FilterDatabase" vbProcedure="false">출처표!$A$1:$M$27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<sst xmlns="http://schemas.openxmlformats.org/spreadsheetml/2006/main" count="326" uniqueCount="174">
  <si>
    <r>
      <rPr>
        <b val="true"/>
        <sz val="11"/>
        <color rgb="FFFFFFFF"/>
        <rFont val="Noto Sans CJK SC"/>
        <family val="2"/>
      </rPr>
      <t xml:space="preserve">문서 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</si>
  <si>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구분</t>
  </si>
  <si>
    <t xml:space="preserve">문서명</t>
  </si>
  <si>
    <r>
      <rPr>
        <b val="true"/>
        <sz val="11"/>
        <color rgb="FFFFFFFF"/>
        <rFont val="Noto Sans CJK SC"/>
        <family val="2"/>
      </rPr>
      <t xml:space="preserve">파일명</t>
    </r>
    <r>
      <rPr>
        <b val="true"/>
        <sz val="11"/>
        <color rgb="FFFFFFFF"/>
        <rFont val="Arial"/>
        <family val="0"/>
        <charset val="1"/>
      </rPr>
      <t xml:space="preserve">(data/ </t>
    </r>
    <r>
      <rPr>
        <b val="true"/>
        <sz val="11"/>
        <color rgb="FFFFFFFF"/>
        <rFont val="Noto Sans CJK SC"/>
        <family val="2"/>
      </rPr>
      <t xml:space="preserve">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</si>
  <si>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발행처</t>
  </si>
  <si>
    <r>
      <rPr>
        <b val="true"/>
        <sz val="11"/>
        <color rgb="FFFFFFFF"/>
        <rFont val="Noto Sans CJK SC"/>
        <family val="2"/>
      </rPr>
      <t xml:space="preserve">개정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시행일</t>
    </r>
  </si>
  <si>
    <r>
      <rPr>
        <b val="true"/>
        <sz val="11"/>
        <color rgb="FFFFFFFF"/>
        <rFont val="Noto Sans CJK SC"/>
        <family val="2"/>
      </rPr>
      <t xml:space="preserve">적재 범위</t>
    </r>
    <r>
      <rPr>
        <b val="true"/>
        <sz val="11"/>
        <color rgb="FFFFFFFF"/>
        <rFont val="Arial"/>
        <family val="0"/>
        <charset val="1"/>
      </rPr>
      <t xml:space="preserve">(--only)</t>
    </r>
  </si>
  <si>
    <t xml:space="preserve">인덱스</t>
  </si>
  <si>
    <t xml:space="preserve">product_id</t>
  </si>
  <si>
    <r>
      <rPr>
        <b val="true"/>
        <sz val="11"/>
        <color rgb="FFFFFFFF"/>
        <rFont val="Arial"/>
        <family val="0"/>
        <charset val="1"/>
      </rPr>
      <t xml:space="preserve">CAS </t>
    </r>
    <r>
      <rPr>
        <b val="true"/>
        <sz val="11"/>
        <color rgb="FFFFFFFF"/>
        <rFont val="Noto Sans CJK SC"/>
        <family val="2"/>
      </rPr>
      <t xml:space="preserve">번호</t>
    </r>
  </si>
  <si>
    <t xml:space="preserve">출처 링크</t>
  </si>
  <si>
    <t xml:space="preserve">적재 상태</t>
  </si>
  <si>
    <t xml:space="preserve">비고</t>
  </si>
  <si>
    <t xml:space="preserve">L1</t>
  </si>
  <si>
    <t xml:space="preserve">법령</t>
  </si>
  <si>
    <t xml:space="preserve">산업안전보건법</t>
  </si>
  <si>
    <r>
      <rPr>
        <sz val="10"/>
        <rFont val="Noto Sans CJK SC"/>
        <family val="2"/>
      </rPr>
      <t xml:space="preserve">산안법</t>
    </r>
    <r>
      <rPr>
        <sz val="10"/>
        <rFont val="Arial"/>
        <family val="0"/>
        <charset val="1"/>
      </rPr>
      <t xml:space="preserve">.pdf</t>
    </r>
  </si>
  <si>
    <t xml:space="preserve">국가법령정보센터</t>
  </si>
  <si>
    <t xml:space="preserve">2026-08-01</t>
  </si>
  <si>
    <t xml:space="preserve">110-116</t>
  </si>
  <si>
    <t xml:space="preserve">faiss_db/law</t>
  </si>
  <si>
    <t xml:space="preserve">https://www.law.go.kr</t>
  </si>
  <si>
    <t xml:space="preserve">적재 전</t>
  </si>
  <si>
    <r>
      <rPr>
        <sz val="10"/>
        <rFont val="Arial"/>
        <family val="0"/>
        <charset val="1"/>
      </rPr>
      <t xml:space="preserve">MSDS </t>
    </r>
    <r>
      <rPr>
        <sz val="10"/>
        <rFont val="Noto Sans CJK SC"/>
        <family val="2"/>
      </rPr>
      <t xml:space="preserve">관련 제</t>
    </r>
    <r>
      <rPr>
        <sz val="10"/>
        <rFont val="Arial"/>
        <family val="0"/>
        <charset val="1"/>
      </rPr>
      <t xml:space="preserve">110~116</t>
    </r>
    <r>
      <rPr>
        <sz val="10"/>
        <rFont val="Noto Sans CJK SC"/>
        <family val="2"/>
      </rPr>
      <t xml:space="preserve">조</t>
    </r>
  </si>
  <si>
    <t xml:space="preserve">산업안전보건기준에 관한 규칙</t>
  </si>
  <si>
    <r>
      <rPr>
        <sz val="10"/>
        <rFont val="Noto Sans CJK SC"/>
        <family val="2"/>
      </rPr>
      <t xml:space="preserve">안전보건규칙</t>
    </r>
    <r>
      <rPr>
        <sz val="10"/>
        <rFont val="Arial"/>
        <family val="0"/>
        <charset val="1"/>
      </rPr>
      <t xml:space="preserve">.pdf</t>
    </r>
  </si>
  <si>
    <t xml:space="preserve">2026-03-02</t>
  </si>
  <si>
    <t xml:space="preserve">31-34,299,420-511</t>
  </si>
  <si>
    <r>
      <rPr>
        <sz val="10"/>
        <rFont val="Noto Sans CJK SC"/>
        <family val="2"/>
      </rPr>
      <t xml:space="preserve">제</t>
    </r>
    <r>
      <rPr>
        <sz val="10"/>
        <rFont val="Arial"/>
        <family val="0"/>
        <charset val="1"/>
      </rPr>
      <t xml:space="preserve">515</t>
    </r>
    <r>
      <rPr>
        <sz val="10"/>
        <rFont val="Noto Sans CJK SC"/>
        <family val="2"/>
      </rPr>
      <t xml:space="preserve">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난청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범위 밖</t>
    </r>
  </si>
  <si>
    <t xml:space="preserve">산업안전보건법 시행규칙</t>
  </si>
  <si>
    <r>
      <rPr>
        <sz val="10"/>
        <rFont val="Noto Sans CJK SC"/>
        <family val="2"/>
      </rPr>
      <t xml:space="preserve">시행규칙</t>
    </r>
    <r>
      <rPr>
        <sz val="10"/>
        <rFont val="Arial"/>
        <family val="0"/>
        <charset val="1"/>
      </rPr>
      <t xml:space="preserve">.pdf</t>
    </r>
  </si>
  <si>
    <t xml:space="preserve">156-171</t>
  </si>
  <si>
    <r>
      <rPr>
        <sz val="10"/>
        <rFont val="Noto Sans CJK SC"/>
        <family val="2"/>
      </rPr>
      <t xml:space="preserve">고용노동부령 제</t>
    </r>
    <r>
      <rPr>
        <sz val="10"/>
        <rFont val="Arial"/>
        <family val="0"/>
        <charset val="1"/>
      </rPr>
      <t xml:space="preserve">477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, MSDS·</t>
    </r>
    <r>
      <rPr>
        <sz val="10"/>
        <rFont val="Noto Sans CJK SC"/>
        <family val="2"/>
      </rPr>
      <t xml:space="preserve">경고표시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교육</t>
    </r>
  </si>
  <si>
    <t xml:space="preserve">L2</t>
  </si>
  <si>
    <t xml:space="preserve">중대재해 처벌 등에 관한 법률</t>
  </si>
  <si>
    <r>
      <rPr>
        <sz val="10"/>
        <rFont val="Noto Sans CJK SC"/>
        <family val="2"/>
      </rPr>
      <t xml:space="preserve">중대재해처벌법</t>
    </r>
    <r>
      <rPr>
        <sz val="10"/>
        <rFont val="Arial"/>
        <family val="0"/>
        <charset val="1"/>
      </rPr>
      <t xml:space="preserve">.pdf</t>
    </r>
  </si>
  <si>
    <t xml:space="preserve">2022-01-27</t>
  </si>
  <si>
    <t xml:space="preserve">전체</t>
  </si>
  <si>
    <r>
      <rPr>
        <sz val="10"/>
        <rFont val="Noto Sans CJK SC"/>
        <family val="2"/>
      </rPr>
      <t xml:space="preserve">법률 제</t>
    </r>
    <r>
      <rPr>
        <sz val="10"/>
        <rFont val="Arial"/>
        <family val="0"/>
        <charset val="1"/>
      </rPr>
      <t xml:space="preserve">17907</t>
    </r>
    <r>
      <rPr>
        <sz val="10"/>
        <rFont val="Noto Sans CJK SC"/>
        <family val="2"/>
      </rPr>
      <t xml:space="preserve">호</t>
    </r>
    <r>
      <rPr>
        <sz val="10"/>
        <rFont val="Arial"/>
        <family val="0"/>
        <charset val="1"/>
      </rPr>
      <t xml:space="preserve">, 16</t>
    </r>
    <r>
      <rPr>
        <sz val="10"/>
        <rFont val="Noto Sans CJK SC"/>
        <family val="2"/>
      </rPr>
      <t xml:space="preserve">청크</t>
    </r>
  </si>
  <si>
    <t xml:space="preserve">L3</t>
  </si>
  <si>
    <t xml:space="preserve">화학물질관리법</t>
  </si>
  <si>
    <r>
      <rPr>
        <sz val="10"/>
        <rFont val="Noto Sans CJK SC"/>
        <family val="2"/>
      </rPr>
      <t xml:space="preserve">화관법</t>
    </r>
    <r>
      <rPr>
        <sz val="10"/>
        <rFont val="Arial"/>
        <family val="0"/>
        <charset val="1"/>
      </rPr>
      <t xml:space="preserve">.pdf</t>
    </r>
  </si>
  <si>
    <t xml:space="preserve">2026-10-08</t>
  </si>
  <si>
    <r>
      <rPr>
        <sz val="10"/>
        <rFont val="Noto Sans CJK SC"/>
        <family val="2"/>
      </rPr>
      <t xml:space="preserve">원문 시행 </t>
    </r>
    <r>
      <rPr>
        <sz val="10"/>
        <rFont val="Arial"/>
        <family val="0"/>
        <charset val="1"/>
      </rPr>
      <t xml:space="preserve">2026-10-08</t>
    </r>
  </si>
  <si>
    <t xml:space="preserve">K1</t>
  </si>
  <si>
    <r>
      <rPr>
        <sz val="10"/>
        <rFont val="Arial"/>
        <family val="0"/>
        <charset val="1"/>
      </rPr>
      <t xml:space="preserve">KOSHA </t>
    </r>
    <r>
      <rPr>
        <sz val="10"/>
        <rFont val="Noto Sans CJK SC"/>
        <family val="2"/>
      </rPr>
      <t xml:space="preserve">지침</t>
    </r>
  </si>
  <si>
    <r>
      <rPr>
        <sz val="10"/>
        <rFont val="Arial"/>
        <family val="0"/>
        <charset val="1"/>
      </rPr>
      <t xml:space="preserve">K-1-2023 </t>
    </r>
    <r>
      <rPr>
        <sz val="10"/>
        <rFont val="Noto Sans CJK SC"/>
        <family val="2"/>
      </rPr>
      <t xml:space="preserve">유해화학물질 저장 운반 및 취급에 관한 기술지침</t>
    </r>
  </si>
  <si>
    <r>
      <rPr>
        <sz val="10"/>
        <rFont val="Arial"/>
        <family val="0"/>
        <charset val="1"/>
      </rPr>
      <t xml:space="preserve">K-1_</t>
    </r>
    <r>
      <rPr>
        <sz val="10"/>
        <rFont val="Noto Sans CJK SC"/>
        <family val="2"/>
      </rPr>
      <t xml:space="preserve">화학물질저장</t>
    </r>
    <r>
      <rPr>
        <sz val="10"/>
        <rFont val="Arial"/>
        <family val="0"/>
        <charset val="1"/>
      </rPr>
      <t xml:space="preserve">.pdf</t>
    </r>
  </si>
  <si>
    <t xml:space="preserve">한국산업안전보건공단</t>
  </si>
  <si>
    <t xml:space="preserve">2023</t>
  </si>
  <si>
    <t xml:space="preserve">faiss_db/msds</t>
  </si>
  <si>
    <t xml:space="preserve">https://www.kosha.or.kr</t>
  </si>
  <si>
    <t xml:space="preserve">K2</t>
  </si>
  <si>
    <r>
      <rPr>
        <sz val="10"/>
        <rFont val="Arial"/>
        <family val="0"/>
        <charset val="1"/>
      </rPr>
      <t xml:space="preserve">G-9-2013 </t>
    </r>
    <r>
      <rPr>
        <sz val="10"/>
        <rFont val="Noto Sans CJK SC"/>
        <family val="2"/>
      </rPr>
      <t xml:space="preserve">위험물질 취급작업장 위험표시에 관한 기술지침</t>
    </r>
  </si>
  <si>
    <r>
      <rPr>
        <sz val="10"/>
        <rFont val="Arial"/>
        <family val="0"/>
        <charset val="1"/>
      </rPr>
      <t xml:space="preserve">G-9_</t>
    </r>
    <r>
      <rPr>
        <sz val="10"/>
        <rFont val="Noto Sans CJK SC"/>
        <family val="2"/>
      </rPr>
      <t xml:space="preserve">위험표시</t>
    </r>
    <r>
      <rPr>
        <sz val="10"/>
        <rFont val="Arial"/>
        <family val="0"/>
        <charset val="1"/>
      </rPr>
      <t xml:space="preserve">.pdf</t>
    </r>
  </si>
  <si>
    <t xml:space="preserve">2013-11</t>
  </si>
  <si>
    <r>
      <rPr>
        <sz val="10"/>
        <rFont val="Noto Sans CJK SC"/>
        <family val="2"/>
      </rPr>
      <t xml:space="preserve">위험표시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경고표지 내용</t>
    </r>
    <r>
      <rPr>
        <sz val="10"/>
        <rFont val="Arial"/>
        <family val="0"/>
        <charset val="1"/>
      </rPr>
      <t xml:space="preserve">, 11</t>
    </r>
    <r>
      <rPr>
        <sz val="10"/>
        <rFont val="Noto Sans CJK SC"/>
        <family val="2"/>
      </rPr>
      <t xml:space="preserve">청크</t>
    </r>
  </si>
  <si>
    <t xml:space="preserve">K3</t>
  </si>
  <si>
    <r>
      <rPr>
        <sz val="10"/>
        <rFont val="Arial"/>
        <family val="0"/>
        <charset val="1"/>
      </rPr>
      <t xml:space="preserve">G-12-2013 </t>
    </r>
    <r>
      <rPr>
        <sz val="10"/>
        <rFont val="Noto Sans CJK SC"/>
        <family val="2"/>
      </rPr>
      <t xml:space="preserve">개인보호구의 사용 및 관리에 관한 기술지침</t>
    </r>
  </si>
  <si>
    <r>
      <rPr>
        <sz val="10"/>
        <rFont val="Arial"/>
        <family val="0"/>
        <charset val="1"/>
      </rPr>
      <t xml:space="preserve">G-12_</t>
    </r>
    <r>
      <rPr>
        <sz val="10"/>
        <rFont val="Noto Sans CJK SC"/>
        <family val="2"/>
      </rPr>
      <t xml:space="preserve">개인보호구</t>
    </r>
    <r>
      <rPr>
        <sz val="10"/>
        <rFont val="Arial"/>
        <family val="0"/>
        <charset val="1"/>
      </rPr>
      <t xml:space="preserve">.pdf</t>
    </r>
  </si>
  <si>
    <t xml:space="preserve">2013-08-30</t>
  </si>
  <si>
    <t xml:space="preserve">공표일 기준</t>
  </si>
  <si>
    <t xml:space="preserve">K4</t>
  </si>
  <si>
    <r>
      <rPr>
        <sz val="10"/>
        <rFont val="Arial"/>
        <family val="0"/>
        <charset val="1"/>
      </rPr>
      <t xml:space="preserve">W-14-2020 </t>
    </r>
    <r>
      <rPr>
        <sz val="10"/>
        <rFont val="Noto Sans CJK SC"/>
        <family val="2"/>
      </rPr>
      <t xml:space="preserve">경고표지 작성 지침</t>
    </r>
  </si>
  <si>
    <r>
      <rPr>
        <sz val="10"/>
        <rFont val="Arial"/>
        <family val="0"/>
        <charset val="1"/>
      </rPr>
      <t xml:space="preserve">W-14_</t>
    </r>
    <r>
      <rPr>
        <sz val="10"/>
        <rFont val="Noto Sans CJK SC"/>
        <family val="2"/>
      </rPr>
      <t xml:space="preserve">경고표지</t>
    </r>
    <r>
      <rPr>
        <sz val="10"/>
        <rFont val="Arial"/>
        <family val="0"/>
        <charset val="1"/>
      </rPr>
      <t xml:space="preserve">.pdf</t>
    </r>
  </si>
  <si>
    <t xml:space="preserve">2020-12</t>
  </si>
  <si>
    <t xml:space="preserve">K5</t>
  </si>
  <si>
    <r>
      <rPr>
        <sz val="10"/>
        <rFont val="Arial"/>
        <family val="0"/>
        <charset val="1"/>
      </rPr>
      <t xml:space="preserve">W-15-2020 </t>
    </r>
    <r>
      <rPr>
        <sz val="10"/>
        <rFont val="Noto Sans CJK SC"/>
        <family val="2"/>
      </rPr>
      <t xml:space="preserve">물질안전보건자료 작성 지침</t>
    </r>
  </si>
  <si>
    <r>
      <rPr>
        <sz val="10"/>
        <rFont val="Arial"/>
        <family val="0"/>
        <charset val="1"/>
      </rPr>
      <t xml:space="preserve">W-15_MSDS</t>
    </r>
    <r>
      <rPr>
        <sz val="10"/>
        <rFont val="Noto Sans CJK SC"/>
        <family val="2"/>
      </rPr>
      <t xml:space="preserve">작성</t>
    </r>
    <r>
      <rPr>
        <sz val="10"/>
        <rFont val="Arial"/>
        <family val="0"/>
        <charset val="1"/>
      </rPr>
      <t xml:space="preserve">.pdf</t>
    </r>
  </si>
  <si>
    <t xml:space="preserve">K6</t>
  </si>
  <si>
    <r>
      <rPr>
        <sz val="10"/>
        <rFont val="Arial"/>
        <family val="0"/>
        <charset val="1"/>
      </rPr>
      <t xml:space="preserve">W-16-2020 </t>
    </r>
    <r>
      <rPr>
        <sz val="10"/>
        <rFont val="Noto Sans CJK SC"/>
        <family val="2"/>
      </rPr>
      <t xml:space="preserve">화학물질의 유해성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위험성 분류 지침</t>
    </r>
  </si>
  <si>
    <r>
      <rPr>
        <sz val="10"/>
        <rFont val="Arial"/>
        <family val="0"/>
        <charset val="1"/>
      </rPr>
      <t xml:space="preserve">W-16_</t>
    </r>
    <r>
      <rPr>
        <sz val="10"/>
        <rFont val="Noto Sans CJK SC"/>
        <family val="2"/>
      </rPr>
      <t xml:space="preserve">유해성분류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</si>
  <si>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130</t>
    </r>
    <r>
      <rPr>
        <sz val="10"/>
        <rFont val="Noto Sans CJK SC"/>
        <family val="2"/>
      </rPr>
      <t xml:space="preserve">청크로 큰 편</t>
    </r>
  </si>
  <si>
    <t xml:space="preserve">K7</t>
  </si>
  <si>
    <r>
      <rPr>
        <sz val="10"/>
        <rFont val="Arial"/>
        <family val="0"/>
        <charset val="1"/>
      </rPr>
      <t xml:space="preserve">X-27-2012 </t>
    </r>
    <r>
      <rPr>
        <sz val="10"/>
        <rFont val="Noto Sans CJK SC"/>
        <family val="2"/>
      </rPr>
      <t xml:space="preserve">화학물질 리스크 관리를 위한 작업공정별 관리요령에 관한 지침</t>
    </r>
  </si>
  <si>
    <r>
      <rPr>
        <sz val="10"/>
        <rFont val="Arial"/>
        <family val="0"/>
        <charset val="1"/>
      </rPr>
      <t xml:space="preserve">X-27_</t>
    </r>
    <r>
      <rPr>
        <sz val="10"/>
        <rFont val="Noto Sans CJK SC"/>
        <family val="2"/>
      </rPr>
      <t xml:space="preserve">리스크관리</t>
    </r>
    <r>
      <rPr>
        <sz val="10"/>
        <rFont val="Arial"/>
        <family val="0"/>
        <charset val="1"/>
      </rPr>
      <t xml:space="preserve">.pdf</t>
    </r>
  </si>
  <si>
    <t xml:space="preserve">2012-06</t>
  </si>
  <si>
    <t xml:space="preserve">K8</t>
  </si>
  <si>
    <r>
      <rPr>
        <sz val="10"/>
        <rFont val="Arial"/>
        <family val="0"/>
        <charset val="1"/>
      </rPr>
      <t xml:space="preserve">H-123-2013 </t>
    </r>
    <r>
      <rPr>
        <sz val="10"/>
        <rFont val="Noto Sans CJK SC"/>
        <family val="2"/>
      </rPr>
      <t xml:space="preserve">불산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불화수소 취급근로자의 중독 예방 및 응급대응 지침</t>
    </r>
  </si>
  <si>
    <r>
      <rPr>
        <sz val="10"/>
        <rFont val="Arial"/>
        <family val="0"/>
        <charset val="1"/>
      </rPr>
      <t xml:space="preserve">H-123_</t>
    </r>
    <r>
      <rPr>
        <sz val="10"/>
        <rFont val="Noto Sans CJK SC"/>
        <family val="2"/>
      </rPr>
      <t xml:space="preserve">불산지침</t>
    </r>
    <r>
      <rPr>
        <sz val="10"/>
        <rFont val="Arial"/>
        <family val="0"/>
        <charset val="1"/>
      </rPr>
      <t xml:space="preserve">.pdf</t>
    </r>
  </si>
  <si>
    <t xml:space="preserve">2013-12</t>
  </si>
  <si>
    <r>
      <rPr>
        <sz val="10"/>
        <rFont val="Noto Sans CJK SC"/>
        <family val="2"/>
      </rPr>
      <t xml:space="preserve">불산 응급대응 근거</t>
    </r>
    <r>
      <rPr>
        <sz val="10"/>
        <rFont val="Arial"/>
        <family val="0"/>
        <charset val="1"/>
      </rPr>
      <t xml:space="preserve">, 26</t>
    </r>
    <r>
      <rPr>
        <sz val="10"/>
        <rFont val="Noto Sans CJK SC"/>
        <family val="2"/>
      </rPr>
      <t xml:space="preserve">청크</t>
    </r>
  </si>
  <si>
    <t xml:space="preserve">D1</t>
  </si>
  <si>
    <t xml:space="preserve">MSDS</t>
  </si>
  <si>
    <r>
      <rPr>
        <sz val="10"/>
        <rFont val="Noto Sans CJK SC"/>
        <family val="2"/>
      </rPr>
      <t xml:space="preserve">황산 </t>
    </r>
    <r>
      <rPr>
        <sz val="10"/>
        <rFont val="Arial"/>
        <family val="0"/>
        <charset val="1"/>
      </rPr>
      <t xml:space="preserve">MSDS (Sulfuric acid, Sigma-Aldrich Korea)</t>
    </r>
  </si>
  <si>
    <r>
      <rPr>
        <sz val="10"/>
        <rFont val="Noto Sans CJK SC"/>
        <family val="2"/>
      </rPr>
      <t xml:space="preserve">황산</t>
    </r>
    <r>
      <rPr>
        <sz val="10"/>
        <rFont val="Arial"/>
        <family val="0"/>
        <charset val="1"/>
      </rPr>
      <t xml:space="preserve">.pdf</t>
    </r>
  </si>
  <si>
    <t xml:space="preserve">Sigma-Aldrich Korea</t>
  </si>
  <si>
    <t xml:space="preserve">2026-07-14</t>
  </si>
  <si>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 항목 전체</t>
    </r>
  </si>
  <si>
    <t xml:space="preserve">sigma-339741</t>
  </si>
  <si>
    <t xml:space="preserve">7664-93-9</t>
  </si>
  <si>
    <t xml:space="preserve">https://www.sigmaaldrich.com/KR/ko</t>
  </si>
  <si>
    <t xml:space="preserve">D2</t>
  </si>
  <si>
    <r>
      <rPr>
        <sz val="10"/>
        <rFont val="Noto Sans CJK SC"/>
        <family val="2"/>
      </rPr>
      <t xml:space="preserve">불산 </t>
    </r>
    <r>
      <rPr>
        <sz val="10"/>
        <rFont val="Arial"/>
        <family val="0"/>
        <charset val="1"/>
      </rPr>
      <t xml:space="preserve">MSDS (Hydrofluoric acid, Sigma-Aldrich Korea)</t>
    </r>
  </si>
  <si>
    <r>
      <rPr>
        <sz val="10"/>
        <rFont val="Noto Sans CJK SC"/>
        <family val="2"/>
      </rPr>
      <t xml:space="preserve">불산</t>
    </r>
    <r>
      <rPr>
        <sz val="10"/>
        <rFont val="Arial"/>
        <family val="0"/>
        <charset val="1"/>
      </rPr>
      <t xml:space="preserve">.pdf</t>
    </r>
  </si>
  <si>
    <t xml:space="preserve">2026-07-17</t>
  </si>
  <si>
    <t xml:space="preserve">sigma-695068</t>
  </si>
  <si>
    <t xml:space="preserve">7664-39-3</t>
  </si>
  <si>
    <t xml:space="preserve">D3</t>
  </si>
  <si>
    <r>
      <rPr>
        <sz val="10"/>
        <rFont val="Noto Sans CJK SC"/>
        <family val="2"/>
      </rPr>
      <t xml:space="preserve">과산화수소 </t>
    </r>
    <r>
      <rPr>
        <sz val="10"/>
        <rFont val="Arial"/>
        <family val="0"/>
        <charset val="1"/>
      </rPr>
      <t xml:space="preserve">MSDS (Hydrogen peroxide 30%, Merck(Millipore))</t>
    </r>
  </si>
  <si>
    <r>
      <rPr>
        <sz val="10"/>
        <rFont val="Noto Sans CJK SC"/>
        <family val="2"/>
      </rPr>
      <t xml:space="preserve">과산화수소</t>
    </r>
    <r>
      <rPr>
        <sz val="10"/>
        <rFont val="Arial"/>
        <family val="0"/>
        <charset val="1"/>
      </rPr>
      <t xml:space="preserve">.pdf</t>
    </r>
  </si>
  <si>
    <t xml:space="preserve">Merck(Millipore)</t>
  </si>
  <si>
    <t xml:space="preserve">2026-08-04</t>
  </si>
  <si>
    <t xml:space="preserve">merck-8.22287</t>
  </si>
  <si>
    <t xml:space="preserve">7722-84-1</t>
  </si>
  <si>
    <r>
      <rPr>
        <sz val="10"/>
        <rFont val="Noto Sans CJK SC"/>
        <family val="2"/>
      </rPr>
      <t xml:space="preserve">공급자 </t>
    </r>
    <r>
      <rPr>
        <sz val="10"/>
        <rFont val="Arial"/>
        <family val="0"/>
        <charset val="1"/>
      </rPr>
      <t xml:space="preserve">Merck</t>
    </r>
  </si>
  <si>
    <t xml:space="preserve">D4</t>
  </si>
  <si>
    <r>
      <rPr>
        <sz val="10"/>
        <rFont val="Noto Sans CJK SC"/>
        <family val="2"/>
      </rPr>
      <t xml:space="preserve">암모니아수 </t>
    </r>
    <r>
      <rPr>
        <sz val="10"/>
        <rFont val="Arial"/>
        <family val="0"/>
        <charset val="1"/>
      </rPr>
      <t xml:space="preserve">MSDS (Ammonium hydroxide solution, Sigma-Aldrich Korea)</t>
    </r>
  </si>
  <si>
    <r>
      <rPr>
        <sz val="10"/>
        <rFont val="Noto Sans CJK SC"/>
        <family val="2"/>
      </rPr>
      <t xml:space="preserve">암모니아수</t>
    </r>
    <r>
      <rPr>
        <sz val="10"/>
        <rFont val="Arial"/>
        <family val="0"/>
        <charset val="1"/>
      </rPr>
      <t xml:space="preserve">.pdf</t>
    </r>
  </si>
  <si>
    <t xml:space="preserve">2026-07-09</t>
  </si>
  <si>
    <t xml:space="preserve">sigma-221228</t>
  </si>
  <si>
    <t xml:space="preserve">1336-21-6</t>
  </si>
  <si>
    <r>
      <rPr>
        <sz val="10"/>
        <rFont val="Noto Sans CJK SC"/>
        <family val="2"/>
      </rPr>
      <t xml:space="preserve">항목 줄이 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개로 잡힘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적재 시 확인</t>
    </r>
  </si>
  <si>
    <t xml:space="preserve">D5</t>
  </si>
  <si>
    <r>
      <rPr>
        <sz val="10"/>
        <rFont val="Noto Sans CJK SC"/>
        <family val="2"/>
      </rPr>
      <t xml:space="preserve">염산 </t>
    </r>
    <r>
      <rPr>
        <sz val="10"/>
        <rFont val="Arial"/>
        <family val="0"/>
        <charset val="1"/>
      </rPr>
      <t xml:space="preserve">MSDS (Hydrochloric acid, Sigma-Aldrich Korea)</t>
    </r>
  </si>
  <si>
    <r>
      <rPr>
        <sz val="10"/>
        <rFont val="Noto Sans CJK SC"/>
        <family val="2"/>
      </rPr>
      <t xml:space="preserve">염산</t>
    </r>
    <r>
      <rPr>
        <sz val="10"/>
        <rFont val="Arial"/>
        <family val="0"/>
        <charset val="1"/>
      </rPr>
      <t xml:space="preserve">.pdf</t>
    </r>
  </si>
  <si>
    <t xml:space="preserve">2026-06-09</t>
  </si>
  <si>
    <t xml:space="preserve">sigma-258148</t>
  </si>
  <si>
    <t xml:space="preserve">7647-01-0</t>
  </si>
  <si>
    <t xml:space="preserve">D6</t>
  </si>
  <si>
    <r>
      <rPr>
        <sz val="10"/>
        <rFont val="Noto Sans CJK SC"/>
        <family val="2"/>
      </rPr>
      <t xml:space="preserve">질산 </t>
    </r>
    <r>
      <rPr>
        <sz val="10"/>
        <rFont val="Arial"/>
        <family val="0"/>
        <charset val="1"/>
      </rPr>
      <t xml:space="preserve">MSDS (Nitric acid, Sigma-Aldrich Korea)</t>
    </r>
  </si>
  <si>
    <r>
      <rPr>
        <sz val="10"/>
        <rFont val="Noto Sans CJK SC"/>
        <family val="2"/>
      </rPr>
      <t xml:space="preserve">질산</t>
    </r>
    <r>
      <rPr>
        <sz val="10"/>
        <rFont val="Arial"/>
        <family val="0"/>
        <charset val="1"/>
      </rPr>
      <t xml:space="preserve">.pdf</t>
    </r>
  </si>
  <si>
    <t xml:space="preserve">2026-06-05</t>
  </si>
  <si>
    <t xml:space="preserve">sigma-438073</t>
  </si>
  <si>
    <t xml:space="preserve">7697-37-2</t>
  </si>
  <si>
    <t xml:space="preserve">D7</t>
  </si>
  <si>
    <r>
      <rPr>
        <sz val="10"/>
        <rFont val="Noto Sans CJK SC"/>
        <family val="2"/>
      </rPr>
      <t xml:space="preserve">인산 </t>
    </r>
    <r>
      <rPr>
        <sz val="10"/>
        <rFont val="Arial"/>
        <family val="0"/>
        <charset val="1"/>
      </rPr>
      <t xml:space="preserve">MSDS (ortho-Phosphoric acid 85%, Merck(Millipore))</t>
    </r>
  </si>
  <si>
    <r>
      <rPr>
        <sz val="10"/>
        <rFont val="Noto Sans CJK SC"/>
        <family val="2"/>
      </rPr>
      <t xml:space="preserve">인산</t>
    </r>
    <r>
      <rPr>
        <sz val="10"/>
        <rFont val="Arial"/>
        <family val="0"/>
        <charset val="1"/>
      </rPr>
      <t xml:space="preserve">.pdf</t>
    </r>
  </si>
  <si>
    <t xml:space="preserve">2026-07-31</t>
  </si>
  <si>
    <t xml:space="preserve">merck-1.00573</t>
  </si>
  <si>
    <t xml:space="preserve">7664-38-2</t>
  </si>
  <si>
    <t xml:space="preserve">D8</t>
  </si>
  <si>
    <t xml:space="preserve">TMAH MSDS (Tetramethylammonium hydroxide solution, Sigma-Aldrich Korea)</t>
  </si>
  <si>
    <t xml:space="preserve">TMAH.pdf</t>
  </si>
  <si>
    <t xml:space="preserve">sigma-328251</t>
  </si>
  <si>
    <t xml:space="preserve">75-59-2</t>
  </si>
  <si>
    <t xml:space="preserve">D9</t>
  </si>
  <si>
    <r>
      <rPr>
        <sz val="10"/>
        <rFont val="Noto Sans CJK SC"/>
        <family val="2"/>
      </rPr>
      <t xml:space="preserve">아세톤 </t>
    </r>
    <r>
      <rPr>
        <sz val="10"/>
        <rFont val="Arial"/>
        <family val="0"/>
        <charset val="1"/>
      </rPr>
      <t xml:space="preserve">MSDS (Acetone, Sigma-Aldrich Korea)</t>
    </r>
  </si>
  <si>
    <r>
      <rPr>
        <sz val="10"/>
        <rFont val="Noto Sans CJK SC"/>
        <family val="2"/>
      </rPr>
      <t xml:space="preserve">아세톤</t>
    </r>
    <r>
      <rPr>
        <sz val="10"/>
        <rFont val="Arial"/>
        <family val="0"/>
        <charset val="1"/>
      </rPr>
      <t xml:space="preserve">.pdf</t>
    </r>
  </si>
  <si>
    <t xml:space="preserve">sigma-179124</t>
  </si>
  <si>
    <t xml:space="preserve">67-64-1</t>
  </si>
  <si>
    <t xml:space="preserve">D10</t>
  </si>
  <si>
    <r>
      <rPr>
        <sz val="10"/>
        <rFont val="Noto Sans CJK SC"/>
        <family val="2"/>
      </rPr>
      <t xml:space="preserve">메탄올 </t>
    </r>
    <r>
      <rPr>
        <sz val="10"/>
        <rFont val="Arial"/>
        <family val="0"/>
        <charset val="1"/>
      </rPr>
      <t xml:space="preserve">MSDS (Methanol, Sigma-Aldrich Korea)</t>
    </r>
  </si>
  <si>
    <r>
      <rPr>
        <sz val="10"/>
        <rFont val="Noto Sans CJK SC"/>
        <family val="2"/>
      </rPr>
      <t xml:space="preserve">메탄올</t>
    </r>
    <r>
      <rPr>
        <sz val="10"/>
        <rFont val="Arial"/>
        <family val="0"/>
        <charset val="1"/>
      </rPr>
      <t xml:space="preserve">.pdf</t>
    </r>
  </si>
  <si>
    <t xml:space="preserve">2026-07-01</t>
  </si>
  <si>
    <t xml:space="preserve">sigma-34860</t>
  </si>
  <si>
    <t xml:space="preserve">67-56-1</t>
  </si>
  <si>
    <t xml:space="preserve">공급자 확인 필요</t>
  </si>
  <si>
    <t xml:space="preserve">D11</t>
  </si>
  <si>
    <r>
      <rPr>
        <sz val="10"/>
        <rFont val="Arial"/>
        <family val="0"/>
        <charset val="1"/>
      </rPr>
      <t xml:space="preserve">IPA(</t>
    </r>
    <r>
      <rPr>
        <sz val="10"/>
        <rFont val="Noto Sans CJK SC"/>
        <family val="2"/>
      </rPr>
      <t xml:space="preserve">이소프로판올</t>
    </r>
    <r>
      <rPr>
        <sz val="10"/>
        <rFont val="Arial"/>
        <family val="0"/>
        <charset val="1"/>
      </rPr>
      <t xml:space="preserve">) MSDS (Isopropanol, Sigma-Aldrich Korea)</t>
    </r>
  </si>
  <si>
    <t xml:space="preserve">IPA.pdf</t>
  </si>
  <si>
    <t xml:space="preserve">2026-06-30</t>
  </si>
  <si>
    <t xml:space="preserve">sigma-563935</t>
  </si>
  <si>
    <t xml:space="preserve">67-63-0</t>
  </si>
  <si>
    <r>
      <rPr>
        <sz val="10"/>
        <rFont val="Noto Sans CJK SC"/>
        <family val="2"/>
      </rPr>
      <t xml:space="preserve">함유량 </t>
    </r>
    <r>
      <rPr>
        <sz val="10"/>
        <rFont val="Arial"/>
        <family val="0"/>
        <charset val="1"/>
      </rPr>
      <t xml:space="preserve">70~75%</t>
    </r>
    <r>
      <rPr>
        <sz val="10"/>
        <rFont val="Noto Sans CJK SC"/>
        <family val="2"/>
      </rPr>
      <t xml:space="preserve">의 희석 제품</t>
    </r>
  </si>
  <si>
    <t xml:space="preserve">D12</t>
  </si>
  <si>
    <t xml:space="preserve">PGMEA MSDS (Propylene glycol monomethyl ether acetate, Sigma-Aldrich Korea)</t>
  </si>
  <si>
    <t xml:space="preserve">PGMEA.pdf</t>
  </si>
  <si>
    <t xml:space="preserve">sigma-484431</t>
  </si>
  <si>
    <t xml:space="preserve">108-65-6</t>
  </si>
  <si>
    <r>
      <rPr>
        <sz val="10"/>
        <rFont val="Noto Sans CJK SC"/>
        <family val="2"/>
      </rPr>
      <t xml:space="preserve">함유량 </t>
    </r>
    <r>
      <rPr>
        <sz val="10"/>
        <rFont val="Arial"/>
        <family val="0"/>
        <charset val="1"/>
      </rPr>
      <t xml:space="preserve">95% </t>
    </r>
    <r>
      <rPr>
        <sz val="10"/>
        <rFont val="Noto Sans CJK SC"/>
        <family val="2"/>
      </rPr>
      <t xml:space="preserve">이상</t>
    </r>
  </si>
  <si>
    <t xml:space="preserve">D13</t>
  </si>
  <si>
    <r>
      <rPr>
        <sz val="10"/>
        <rFont val="Noto Sans CJK SC"/>
        <family val="2"/>
      </rPr>
      <t xml:space="preserve">수산화나트륨 </t>
    </r>
    <r>
      <rPr>
        <sz val="10"/>
        <rFont val="Arial"/>
        <family val="0"/>
        <charset val="1"/>
      </rPr>
      <t xml:space="preserve">MSDS (Sodium hydroxide, Sigma-Aldrich Korea)</t>
    </r>
  </si>
  <si>
    <r>
      <rPr>
        <sz val="10"/>
        <rFont val="Noto Sans CJK SC"/>
        <family val="2"/>
      </rPr>
      <t xml:space="preserve">수산화나트륨</t>
    </r>
    <r>
      <rPr>
        <sz val="10"/>
        <rFont val="Arial"/>
        <family val="0"/>
        <charset val="1"/>
      </rPr>
      <t xml:space="preserve">.pdf</t>
    </r>
  </si>
  <si>
    <t xml:space="preserve">sigma-221465</t>
  </si>
  <si>
    <t xml:space="preserve">1310-73-2</t>
  </si>
  <si>
    <t xml:space="preserve">데이터 출처 요약</t>
  </si>
  <si>
    <t xml:space="preserve">파일 수</t>
  </si>
  <si>
    <t xml:space="preserve">적재 완료</t>
  </si>
  <si>
    <t xml:space="preserve">적재 완료 비율</t>
  </si>
  <si>
    <t xml:space="preserve">합계</t>
  </si>
  <si>
    <r>
      <rPr>
        <i val="true"/>
        <sz val="10"/>
        <rFont val="Noto Sans CJK SC"/>
        <family val="2"/>
      </rPr>
      <t xml:space="preserve">교재 기준</t>
    </r>
    <r>
      <rPr>
        <i val="true"/>
        <sz val="10"/>
        <rFont val="Arial"/>
        <family val="0"/>
        <charset val="1"/>
      </rPr>
      <t xml:space="preserve">: 5~30</t>
    </r>
    <r>
      <rPr>
        <i val="true"/>
        <sz val="10"/>
        <rFont val="Noto Sans CJK SC"/>
        <family val="2"/>
      </rPr>
      <t xml:space="preserve">개 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Noto Sans CJK SC"/>
        <family val="2"/>
      </rPr>
      <t xml:space="preserve">현재 </t>
    </r>
    <r>
      <rPr>
        <i val="true"/>
        <sz val="10"/>
        <rFont val="Arial"/>
        <family val="0"/>
        <charset val="1"/>
      </rPr>
      <t xml:space="preserve">26</t>
    </r>
    <r>
      <rPr>
        <i val="true"/>
        <sz val="10"/>
        <rFont val="Noto Sans CJK SC"/>
        <family val="2"/>
      </rPr>
      <t xml:space="preserve">개</t>
    </r>
    <r>
      <rPr>
        <i val="true"/>
        <sz val="10"/>
        <rFont val="Arial"/>
        <family val="0"/>
        <charset val="1"/>
      </rPr>
      <t xml:space="preserve">)</t>
    </r>
  </si>
  <si>
    <r>
      <rPr>
        <i val="true"/>
        <sz val="10"/>
        <rFont val="Arial"/>
        <family val="0"/>
        <charset val="1"/>
      </rPr>
      <t xml:space="preserve">'</t>
    </r>
    <r>
      <rPr>
        <i val="true"/>
        <sz val="10"/>
        <rFont val="Noto Sans CJK SC"/>
        <family val="2"/>
      </rPr>
      <t xml:space="preserve">출처표</t>
    </r>
    <r>
      <rPr>
        <i val="true"/>
        <sz val="10"/>
        <rFont val="Arial"/>
        <family val="0"/>
        <charset val="1"/>
      </rPr>
      <t xml:space="preserve">'</t>
    </r>
    <r>
      <rPr>
        <i val="true"/>
        <sz val="10"/>
        <rFont val="Noto Sans CJK SC"/>
        <family val="2"/>
      </rPr>
      <t xml:space="preserve">의 </t>
    </r>
    <r>
      <rPr>
        <i val="true"/>
        <sz val="10"/>
        <rFont val="Arial"/>
        <family val="0"/>
        <charset val="1"/>
      </rPr>
      <t xml:space="preserve">'</t>
    </r>
    <r>
      <rPr>
        <i val="true"/>
        <sz val="10"/>
        <rFont val="Noto Sans CJK SC"/>
        <family val="2"/>
      </rPr>
      <t xml:space="preserve">적재 상태</t>
    </r>
    <r>
      <rPr>
        <i val="true"/>
        <sz val="10"/>
        <rFont val="Arial"/>
        <family val="0"/>
        <charset val="1"/>
      </rPr>
      <t xml:space="preserve">' </t>
    </r>
    <r>
      <rPr>
        <i val="true"/>
        <sz val="10"/>
        <rFont val="Noto Sans CJK SC"/>
        <family val="2"/>
      </rPr>
      <t xml:space="preserve">열을 </t>
    </r>
    <r>
      <rPr>
        <i val="true"/>
        <sz val="10"/>
        <rFont val="Arial"/>
        <family val="0"/>
        <charset val="1"/>
      </rPr>
      <t xml:space="preserve">'</t>
    </r>
    <r>
      <rPr>
        <i val="true"/>
        <sz val="10"/>
        <rFont val="Noto Sans CJK SC"/>
        <family val="2"/>
      </rPr>
      <t xml:space="preserve">적재 완료</t>
    </r>
    <r>
      <rPr>
        <i val="true"/>
        <sz val="10"/>
        <rFont val="Arial"/>
        <family val="0"/>
        <charset val="1"/>
      </rPr>
      <t xml:space="preserve">'</t>
    </r>
    <r>
      <rPr>
        <i val="true"/>
        <sz val="10"/>
        <rFont val="Noto Sans CJK SC"/>
        <family val="2"/>
      </rPr>
      <t xml:space="preserve">로 바꾸면 이 표가 자동으로 갱신돼요 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Noto Sans CJK SC"/>
        <family val="2"/>
      </rPr>
      <t xml:space="preserve">파란 글씨 </t>
    </r>
    <r>
      <rPr>
        <i val="true"/>
        <sz val="10"/>
        <rFont val="Arial"/>
        <family val="0"/>
        <charset val="1"/>
      </rPr>
      <t xml:space="preserve">= </t>
    </r>
    <r>
      <rPr>
        <i val="true"/>
        <sz val="10"/>
        <rFont val="Noto Sans CJK SC"/>
        <family val="2"/>
      </rPr>
      <t xml:space="preserve">직접 수정하는 칸</t>
    </r>
    <r>
      <rPr>
        <i val="true"/>
        <sz val="10"/>
        <rFont val="Arial"/>
        <family val="0"/>
        <charset val="1"/>
      </rPr>
      <t xml:space="preserve">).</t>
    </r>
  </si>
  <si>
    <r>
      <rPr>
        <i val="true"/>
        <sz val="10"/>
        <rFont val="Noto Sans CJK SC"/>
        <family val="2"/>
      </rPr>
      <t xml:space="preserve">메탄올 공급자는 확인이 필요해요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날짜는 각 </t>
    </r>
    <r>
      <rPr>
        <i val="true"/>
        <sz val="10"/>
        <rFont val="Arial"/>
        <family val="0"/>
        <charset val="1"/>
      </rPr>
      <t xml:space="preserve">PDF</t>
    </r>
    <r>
      <rPr>
        <i val="true"/>
        <sz val="10"/>
        <rFont val="Noto Sans CJK SC"/>
        <family val="2"/>
      </rPr>
      <t xml:space="preserve">에 적힌 개정일이에요</t>
    </r>
    <r>
      <rPr>
        <i val="true"/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</si>
</sst>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u val="single"/>
      <sz val="10"/>
      <color rgb="FF0563C1"/>
      <name val="Arial"/>
      <family val="0"/>
      <charset val="1"/>
    </font>
    <font>
      <sz val="10"/>
      <color rgb="FF0000FF"/>
      <name val="Noto Sans CJK SC"/>
      <family val="2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1FB"/>
        <bgColor rgb="FFEEF7EA"/>
      </patternFill>
    </fill>
    <fill>
      <patternFill patternType="solid">
        <fgColor rgb="FFEEF7EA"/>
        <bgColor rgb="FFEAF1FB"/>
      </patternFill>
    </fill>
    <fill>
      <patternFill patternType="solid">
        <fgColor rgb="FFFFF6E5"/>
        <bgColor rgb="FFEEF7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EEF7EA"/>
          <bgColor rgb="FF000000"/>
        </patternFill>
      </fill>
    </dxf>
    <dxf>
      <fill>
        <patternFill patternType="solid">
          <fgColor rgb="FFFFF6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E5"/>
      <rgbColor rgb="FFEAF1FB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7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aw.go.kr/" TargetMode="External"/><Relationship Id="rId2" Type="http://schemas.openxmlformats.org/officeDocument/2006/relationships/hyperlink" Target="https://www.law.go.kr/" TargetMode="External"/><Relationship Id="rId3" Type="http://schemas.openxmlformats.org/officeDocument/2006/relationships/hyperlink" Target="https://www.law.go.kr/" TargetMode="External"/><Relationship Id="rId4" Type="http://schemas.openxmlformats.org/officeDocument/2006/relationships/hyperlink" Target="https://www.law.go.kr/" TargetMode="External"/><Relationship Id="rId5" Type="http://schemas.openxmlformats.org/officeDocument/2006/relationships/hyperlink" Target="https://www.law.go.kr/" TargetMode="External"/><Relationship Id="rId6" Type="http://schemas.openxmlformats.org/officeDocument/2006/relationships/hyperlink" Target="https://www.kosha.or.kr/" TargetMode="External"/><Relationship Id="rId7" Type="http://schemas.openxmlformats.org/officeDocument/2006/relationships/hyperlink" Target="https://www.kosha.or.kr/" TargetMode="External"/><Relationship Id="rId8" Type="http://schemas.openxmlformats.org/officeDocument/2006/relationships/hyperlink" Target="https://www.kosha.or.kr/" TargetMode="External"/><Relationship Id="rId9" Type="http://schemas.openxmlformats.org/officeDocument/2006/relationships/hyperlink" Target="https://www.kosha.or.kr/" TargetMode="External"/><Relationship Id="rId10" Type="http://schemas.openxmlformats.org/officeDocument/2006/relationships/hyperlink" Target="https://www.kosha.or.kr/" TargetMode="External"/><Relationship Id="rId11" Type="http://schemas.openxmlformats.org/officeDocument/2006/relationships/hyperlink" Target="https://www.kosha.or.kr/" TargetMode="External"/><Relationship Id="rId12" Type="http://schemas.openxmlformats.org/officeDocument/2006/relationships/hyperlink" Target="https://www.kosha.or.kr/" TargetMode="External"/><Relationship Id="rId13" Type="http://schemas.openxmlformats.org/officeDocument/2006/relationships/hyperlink" Target="https://www.kosha.or.kr/" TargetMode="External"/><Relationship Id="rId14" Type="http://schemas.openxmlformats.org/officeDocument/2006/relationships/hyperlink" Target="https://www.sigmaaldrich.com/KR/ko" TargetMode="External"/><Relationship Id="rId15" Type="http://schemas.openxmlformats.org/officeDocument/2006/relationships/hyperlink" Target="https://www.sigmaaldrich.com/KR/ko" TargetMode="External"/><Relationship Id="rId16" Type="http://schemas.openxmlformats.org/officeDocument/2006/relationships/hyperlink" Target="https://www.sigmaaldrich.com/KR/ko" TargetMode="External"/><Relationship Id="rId17" Type="http://schemas.openxmlformats.org/officeDocument/2006/relationships/hyperlink" Target="https://www.sigmaaldrich.com/KR/ko" TargetMode="External"/><Relationship Id="rId18" Type="http://schemas.openxmlformats.org/officeDocument/2006/relationships/hyperlink" Target="https://www.sigmaaldrich.com/KR/ko" TargetMode="External"/><Relationship Id="rId19" Type="http://schemas.openxmlformats.org/officeDocument/2006/relationships/hyperlink" Target="https://www.sigmaaldrich.com/KR/ko" TargetMode="External"/><Relationship Id="rId20" Type="http://schemas.openxmlformats.org/officeDocument/2006/relationships/hyperlink" Target="https://www.sigmaaldrich.com/KR/ko" TargetMode="External"/><Relationship Id="rId21" Type="http://schemas.openxmlformats.org/officeDocument/2006/relationships/hyperlink" Target="https://www.sigmaaldrich.com/KR/ko" TargetMode="External"/><Relationship Id="rId22" Type="http://schemas.openxmlformats.org/officeDocument/2006/relationships/hyperlink" Target="https://www.sigmaaldrich.com/KR/ko" TargetMode="External"/><Relationship Id="rId23" Type="http://schemas.openxmlformats.org/officeDocument/2006/relationships/hyperlink" Target="https://www.sigmaaldrich.com/KR/ko" TargetMode="External"/><Relationship Id="rId24" Type="http://schemas.openxmlformats.org/officeDocument/2006/relationships/hyperlink" Target="https://www.sigmaaldrich.com/KR/ko" TargetMode="External"/><Relationship Id="rId25" Type="http://schemas.openxmlformats.org/officeDocument/2006/relationships/hyperlink" Target="https://www.sigmaaldrich.com/KR/ko" TargetMode="External"/><Relationship Id="rId26" Type="http://schemas.openxmlformats.org/officeDocument/2006/relationships/hyperlink" Target="https://www.sigmaaldrich.com/KR/ko" TargetMode="External"/><Relationship Id="rId2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30"/>
    <col collapsed="false" customWidth="true" hidden="false" outlineLevel="0" max="12" min="12" style="0" width="11"/>
    <col collapsed="false" customWidth="true" hidden="false" outlineLevel="0" max="13" min="13" style="0" width="3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3" t="s">
        <v>13</v>
      </c>
      <c r="B2" s="4" t="s">
        <v>14</v>
      </c>
      <c r="C2" s="5" t="s">
        <v>15</v>
      </c>
      <c r="D2" s="5" t="s">
        <v>16</v>
      </c>
      <c r="E2" s="5" t="s">
        <v>17</v>
      </c>
      <c r="F2" s="6" t="s">
        <v>18</v>
      </c>
      <c r="G2" s="6" t="s">
        <v>19</v>
      </c>
      <c r="H2" s="6" t="s">
        <v>20</v>
      </c>
      <c r="I2" s="6"/>
      <c r="J2" s="6"/>
      <c r="K2" s="7" t="s">
        <v>21</v>
      </c>
      <c r="L2" s="8" t="s">
        <v>22</v>
      </c>
      <c r="M2" s="6" t="s">
        <v>23</v>
      </c>
    </row>
    <row r="3" customFormat="false" ht="15" hidden="false" customHeight="false" outlineLevel="0" collapsed="false">
      <c r="A3" s="3" t="s">
        <v>13</v>
      </c>
      <c r="B3" s="4" t="s">
        <v>14</v>
      </c>
      <c r="C3" s="5" t="s">
        <v>24</v>
      </c>
      <c r="D3" s="5" t="s">
        <v>25</v>
      </c>
      <c r="E3" s="5" t="s">
        <v>17</v>
      </c>
      <c r="F3" s="6" t="s">
        <v>26</v>
      </c>
      <c r="G3" s="6" t="s">
        <v>27</v>
      </c>
      <c r="H3" s="6" t="s">
        <v>20</v>
      </c>
      <c r="I3" s="6"/>
      <c r="J3" s="6"/>
      <c r="K3" s="7" t="s">
        <v>21</v>
      </c>
      <c r="L3" s="8" t="s">
        <v>22</v>
      </c>
      <c r="M3" s="5" t="s">
        <v>28</v>
      </c>
    </row>
    <row r="4" customFormat="false" ht="15" hidden="false" customHeight="false" outlineLevel="0" collapsed="false">
      <c r="A4" s="3" t="s">
        <v>13</v>
      </c>
      <c r="B4" s="4" t="s">
        <v>14</v>
      </c>
      <c r="C4" s="5" t="s">
        <v>29</v>
      </c>
      <c r="D4" s="5" t="s">
        <v>30</v>
      </c>
      <c r="E4" s="5" t="s">
        <v>17</v>
      </c>
      <c r="F4" s="6" t="s">
        <v>18</v>
      </c>
      <c r="G4" s="6" t="s">
        <v>31</v>
      </c>
      <c r="H4" s="6" t="s">
        <v>20</v>
      </c>
      <c r="I4" s="6"/>
      <c r="J4" s="6"/>
      <c r="K4" s="7" t="s">
        <v>21</v>
      </c>
      <c r="L4" s="8" t="s">
        <v>22</v>
      </c>
      <c r="M4" s="5" t="s">
        <v>32</v>
      </c>
    </row>
    <row r="5" customFormat="false" ht="15" hidden="false" customHeight="false" outlineLevel="0" collapsed="false">
      <c r="A5" s="3" t="s">
        <v>33</v>
      </c>
      <c r="B5" s="4" t="s">
        <v>14</v>
      </c>
      <c r="C5" s="5" t="s">
        <v>34</v>
      </c>
      <c r="D5" s="5" t="s">
        <v>35</v>
      </c>
      <c r="E5" s="5" t="s">
        <v>17</v>
      </c>
      <c r="F5" s="6" t="s">
        <v>36</v>
      </c>
      <c r="G5" s="5" t="s">
        <v>37</v>
      </c>
      <c r="H5" s="6" t="s">
        <v>20</v>
      </c>
      <c r="I5" s="6"/>
      <c r="J5" s="6"/>
      <c r="K5" s="7" t="s">
        <v>21</v>
      </c>
      <c r="L5" s="8" t="s">
        <v>22</v>
      </c>
      <c r="M5" s="5" t="s">
        <v>38</v>
      </c>
    </row>
    <row r="6" customFormat="false" ht="15" hidden="false" customHeight="false" outlineLevel="0" collapsed="false">
      <c r="A6" s="3" t="s">
        <v>39</v>
      </c>
      <c r="B6" s="4" t="s">
        <v>14</v>
      </c>
      <c r="C6" s="5" t="s">
        <v>40</v>
      </c>
      <c r="D6" s="5" t="s">
        <v>41</v>
      </c>
      <c r="E6" s="5" t="s">
        <v>17</v>
      </c>
      <c r="F6" s="6" t="s">
        <v>42</v>
      </c>
      <c r="G6" s="5" t="s">
        <v>37</v>
      </c>
      <c r="H6" s="6" t="s">
        <v>20</v>
      </c>
      <c r="I6" s="6"/>
      <c r="J6" s="6"/>
      <c r="K6" s="7" t="s">
        <v>21</v>
      </c>
      <c r="L6" s="8" t="s">
        <v>22</v>
      </c>
      <c r="M6" s="5" t="s">
        <v>43</v>
      </c>
    </row>
    <row r="7" customFormat="false" ht="15" hidden="false" customHeight="false" outlineLevel="0" collapsed="false">
      <c r="A7" s="9" t="s">
        <v>44</v>
      </c>
      <c r="B7" s="9" t="s">
        <v>45</v>
      </c>
      <c r="C7" s="6" t="s">
        <v>46</v>
      </c>
      <c r="D7" s="6" t="s">
        <v>47</v>
      </c>
      <c r="E7" s="5" t="s">
        <v>48</v>
      </c>
      <c r="F7" s="6" t="s">
        <v>49</v>
      </c>
      <c r="G7" s="5" t="s">
        <v>37</v>
      </c>
      <c r="H7" s="6" t="s">
        <v>50</v>
      </c>
      <c r="I7" s="6"/>
      <c r="J7" s="6"/>
      <c r="K7" s="7" t="s">
        <v>51</v>
      </c>
      <c r="L7" s="8" t="s">
        <v>22</v>
      </c>
      <c r="M7" s="6"/>
    </row>
    <row r="8" customFormat="false" ht="15" hidden="false" customHeight="false" outlineLevel="0" collapsed="false">
      <c r="A8" s="9" t="s">
        <v>52</v>
      </c>
      <c r="B8" s="9" t="s">
        <v>45</v>
      </c>
      <c r="C8" s="6" t="s">
        <v>53</v>
      </c>
      <c r="D8" s="6" t="s">
        <v>54</v>
      </c>
      <c r="E8" s="5" t="s">
        <v>48</v>
      </c>
      <c r="F8" s="6" t="s">
        <v>55</v>
      </c>
      <c r="G8" s="5" t="s">
        <v>37</v>
      </c>
      <c r="H8" s="6" t="s">
        <v>50</v>
      </c>
      <c r="I8" s="6"/>
      <c r="J8" s="6"/>
      <c r="K8" s="7" t="s">
        <v>51</v>
      </c>
      <c r="L8" s="8" t="s">
        <v>22</v>
      </c>
      <c r="M8" s="5" t="s">
        <v>56</v>
      </c>
    </row>
    <row r="9" customFormat="false" ht="15" hidden="false" customHeight="false" outlineLevel="0" collapsed="false">
      <c r="A9" s="9" t="s">
        <v>57</v>
      </c>
      <c r="B9" s="9" t="s">
        <v>45</v>
      </c>
      <c r="C9" s="6" t="s">
        <v>58</v>
      </c>
      <c r="D9" s="6" t="s">
        <v>59</v>
      </c>
      <c r="E9" s="5" t="s">
        <v>48</v>
      </c>
      <c r="F9" s="6" t="s">
        <v>60</v>
      </c>
      <c r="G9" s="5" t="s">
        <v>37</v>
      </c>
      <c r="H9" s="6" t="s">
        <v>50</v>
      </c>
      <c r="I9" s="6"/>
      <c r="J9" s="6"/>
      <c r="K9" s="7" t="s">
        <v>51</v>
      </c>
      <c r="L9" s="8" t="s">
        <v>22</v>
      </c>
      <c r="M9" s="5" t="s">
        <v>61</v>
      </c>
    </row>
    <row r="10" customFormat="false" ht="15" hidden="false" customHeight="false" outlineLevel="0" collapsed="false">
      <c r="A10" s="9" t="s">
        <v>62</v>
      </c>
      <c r="B10" s="9" t="s">
        <v>45</v>
      </c>
      <c r="C10" s="6" t="s">
        <v>63</v>
      </c>
      <c r="D10" s="6" t="s">
        <v>64</v>
      </c>
      <c r="E10" s="5" t="s">
        <v>48</v>
      </c>
      <c r="F10" s="6" t="s">
        <v>65</v>
      </c>
      <c r="G10" s="5" t="s">
        <v>37</v>
      </c>
      <c r="H10" s="6" t="s">
        <v>50</v>
      </c>
      <c r="I10" s="6"/>
      <c r="J10" s="6"/>
      <c r="K10" s="7" t="s">
        <v>51</v>
      </c>
      <c r="L10" s="8" t="s">
        <v>22</v>
      </c>
      <c r="M10" s="6"/>
    </row>
    <row r="11" customFormat="false" ht="15" hidden="false" customHeight="false" outlineLevel="0" collapsed="false">
      <c r="A11" s="9" t="s">
        <v>66</v>
      </c>
      <c r="B11" s="9" t="s">
        <v>45</v>
      </c>
      <c r="C11" s="6" t="s">
        <v>67</v>
      </c>
      <c r="D11" s="6" t="s">
        <v>68</v>
      </c>
      <c r="E11" s="5" t="s">
        <v>48</v>
      </c>
      <c r="F11" s="6" t="s">
        <v>65</v>
      </c>
      <c r="G11" s="5" t="s">
        <v>37</v>
      </c>
      <c r="H11" s="6" t="s">
        <v>50</v>
      </c>
      <c r="I11" s="6"/>
      <c r="J11" s="6"/>
      <c r="K11" s="7" t="s">
        <v>51</v>
      </c>
      <c r="L11" s="8" t="s">
        <v>22</v>
      </c>
      <c r="M11" s="6"/>
    </row>
    <row r="12" customFormat="false" ht="15" hidden="false" customHeight="false" outlineLevel="0" collapsed="false">
      <c r="A12" s="9" t="s">
        <v>69</v>
      </c>
      <c r="B12" s="9" t="s">
        <v>45</v>
      </c>
      <c r="C12" s="6" t="s">
        <v>70</v>
      </c>
      <c r="D12" s="6" t="s">
        <v>71</v>
      </c>
      <c r="E12" s="5" t="s">
        <v>48</v>
      </c>
      <c r="F12" s="6" t="s">
        <v>65</v>
      </c>
      <c r="G12" s="5" t="s">
        <v>37</v>
      </c>
      <c r="H12" s="6" t="s">
        <v>50</v>
      </c>
      <c r="I12" s="6"/>
      <c r="J12" s="6"/>
      <c r="K12" s="7" t="s">
        <v>51</v>
      </c>
      <c r="L12" s="8" t="s">
        <v>22</v>
      </c>
      <c r="M12" s="6" t="s">
        <v>72</v>
      </c>
    </row>
    <row r="13" customFormat="false" ht="29.85" hidden="false" customHeight="false" outlineLevel="0" collapsed="false">
      <c r="A13" s="9" t="s">
        <v>73</v>
      </c>
      <c r="B13" s="9" t="s">
        <v>45</v>
      </c>
      <c r="C13" s="6" t="s">
        <v>74</v>
      </c>
      <c r="D13" s="6" t="s">
        <v>75</v>
      </c>
      <c r="E13" s="5" t="s">
        <v>48</v>
      </c>
      <c r="F13" s="6" t="s">
        <v>76</v>
      </c>
      <c r="G13" s="5" t="s">
        <v>37</v>
      </c>
      <c r="H13" s="6" t="s">
        <v>50</v>
      </c>
      <c r="I13" s="6"/>
      <c r="J13" s="6"/>
      <c r="K13" s="7" t="s">
        <v>51</v>
      </c>
      <c r="L13" s="8" t="s">
        <v>22</v>
      </c>
      <c r="M13" s="6"/>
    </row>
    <row r="14" customFormat="false" ht="29.85" hidden="false" customHeight="false" outlineLevel="0" collapsed="false">
      <c r="A14" s="9" t="s">
        <v>77</v>
      </c>
      <c r="B14" s="9" t="s">
        <v>45</v>
      </c>
      <c r="C14" s="6" t="s">
        <v>78</v>
      </c>
      <c r="D14" s="6" t="s">
        <v>79</v>
      </c>
      <c r="E14" s="5" t="s">
        <v>48</v>
      </c>
      <c r="F14" s="6" t="s">
        <v>80</v>
      </c>
      <c r="G14" s="5" t="s">
        <v>37</v>
      </c>
      <c r="H14" s="6" t="s">
        <v>50</v>
      </c>
      <c r="I14" s="6"/>
      <c r="J14" s="6"/>
      <c r="K14" s="7" t="s">
        <v>51</v>
      </c>
      <c r="L14" s="8" t="s">
        <v>22</v>
      </c>
      <c r="M14" s="5" t="s">
        <v>81</v>
      </c>
    </row>
    <row r="15" customFormat="false" ht="15" hidden="false" customHeight="false" outlineLevel="0" collapsed="false">
      <c r="A15" s="10" t="s">
        <v>82</v>
      </c>
      <c r="B15" s="10" t="s">
        <v>83</v>
      </c>
      <c r="C15" s="5" t="s">
        <v>84</v>
      </c>
      <c r="D15" s="5" t="s">
        <v>85</v>
      </c>
      <c r="E15" s="6" t="s">
        <v>86</v>
      </c>
      <c r="F15" s="6" t="s">
        <v>87</v>
      </c>
      <c r="G15" s="6" t="s">
        <v>88</v>
      </c>
      <c r="H15" s="6" t="s">
        <v>50</v>
      </c>
      <c r="I15" s="6" t="s">
        <v>89</v>
      </c>
      <c r="J15" s="6" t="s">
        <v>90</v>
      </c>
      <c r="K15" s="7" t="s">
        <v>91</v>
      </c>
      <c r="L15" s="8" t="s">
        <v>22</v>
      </c>
      <c r="M15" s="6"/>
    </row>
    <row r="16" customFormat="false" ht="15" hidden="false" customHeight="false" outlineLevel="0" collapsed="false">
      <c r="A16" s="10" t="s">
        <v>92</v>
      </c>
      <c r="B16" s="10" t="s">
        <v>83</v>
      </c>
      <c r="C16" s="5" t="s">
        <v>93</v>
      </c>
      <c r="D16" s="5" t="s">
        <v>94</v>
      </c>
      <c r="E16" s="6" t="s">
        <v>86</v>
      </c>
      <c r="F16" s="6" t="s">
        <v>95</v>
      </c>
      <c r="G16" s="6" t="s">
        <v>88</v>
      </c>
      <c r="H16" s="6" t="s">
        <v>50</v>
      </c>
      <c r="I16" s="6" t="s">
        <v>96</v>
      </c>
      <c r="J16" s="6" t="s">
        <v>97</v>
      </c>
      <c r="K16" s="7" t="s">
        <v>91</v>
      </c>
      <c r="L16" s="8" t="s">
        <v>22</v>
      </c>
      <c r="M16" s="6"/>
    </row>
    <row r="17" customFormat="false" ht="26.85" hidden="false" customHeight="false" outlineLevel="0" collapsed="false">
      <c r="A17" s="10" t="s">
        <v>98</v>
      </c>
      <c r="B17" s="10" t="s">
        <v>83</v>
      </c>
      <c r="C17" s="5" t="s">
        <v>99</v>
      </c>
      <c r="D17" s="5" t="s">
        <v>100</v>
      </c>
      <c r="E17" s="6" t="s">
        <v>101</v>
      </c>
      <c r="F17" s="6" t="s">
        <v>102</v>
      </c>
      <c r="G17" s="6" t="s">
        <v>88</v>
      </c>
      <c r="H17" s="6" t="s">
        <v>50</v>
      </c>
      <c r="I17" s="6" t="s">
        <v>103</v>
      </c>
      <c r="J17" s="6" t="s">
        <v>104</v>
      </c>
      <c r="K17" s="7" t="s">
        <v>91</v>
      </c>
      <c r="L17" s="8" t="s">
        <v>22</v>
      </c>
      <c r="M17" s="5" t="s">
        <v>105</v>
      </c>
    </row>
    <row r="18" customFormat="false" ht="26.85" hidden="false" customHeight="false" outlineLevel="0" collapsed="false">
      <c r="A18" s="10" t="s">
        <v>106</v>
      </c>
      <c r="B18" s="10" t="s">
        <v>83</v>
      </c>
      <c r="C18" s="5" t="s">
        <v>107</v>
      </c>
      <c r="D18" s="5" t="s">
        <v>108</v>
      </c>
      <c r="E18" s="6" t="s">
        <v>86</v>
      </c>
      <c r="F18" s="6" t="s">
        <v>109</v>
      </c>
      <c r="G18" s="6" t="s">
        <v>88</v>
      </c>
      <c r="H18" s="6" t="s">
        <v>50</v>
      </c>
      <c r="I18" s="6" t="s">
        <v>110</v>
      </c>
      <c r="J18" s="6" t="s">
        <v>111</v>
      </c>
      <c r="K18" s="7" t="s">
        <v>91</v>
      </c>
      <c r="L18" s="8" t="s">
        <v>22</v>
      </c>
      <c r="M18" s="5" t="s">
        <v>112</v>
      </c>
    </row>
    <row r="19" customFormat="false" ht="15" hidden="false" customHeight="false" outlineLevel="0" collapsed="false">
      <c r="A19" s="10" t="s">
        <v>113</v>
      </c>
      <c r="B19" s="10" t="s">
        <v>83</v>
      </c>
      <c r="C19" s="5" t="s">
        <v>114</v>
      </c>
      <c r="D19" s="5" t="s">
        <v>115</v>
      </c>
      <c r="E19" s="6" t="s">
        <v>86</v>
      </c>
      <c r="F19" s="6" t="s">
        <v>116</v>
      </c>
      <c r="G19" s="6" t="s">
        <v>88</v>
      </c>
      <c r="H19" s="6" t="s">
        <v>50</v>
      </c>
      <c r="I19" s="6" t="s">
        <v>117</v>
      </c>
      <c r="J19" s="6" t="s">
        <v>118</v>
      </c>
      <c r="K19" s="7" t="s">
        <v>91</v>
      </c>
      <c r="L19" s="8" t="s">
        <v>22</v>
      </c>
      <c r="M19" s="6"/>
    </row>
    <row r="20" customFormat="false" ht="15" hidden="false" customHeight="false" outlineLevel="0" collapsed="false">
      <c r="A20" s="10" t="s">
        <v>119</v>
      </c>
      <c r="B20" s="10" t="s">
        <v>83</v>
      </c>
      <c r="C20" s="5" t="s">
        <v>120</v>
      </c>
      <c r="D20" s="5" t="s">
        <v>121</v>
      </c>
      <c r="E20" s="6" t="s">
        <v>86</v>
      </c>
      <c r="F20" s="6" t="s">
        <v>122</v>
      </c>
      <c r="G20" s="6" t="s">
        <v>88</v>
      </c>
      <c r="H20" s="6" t="s">
        <v>50</v>
      </c>
      <c r="I20" s="6" t="s">
        <v>123</v>
      </c>
      <c r="J20" s="6" t="s">
        <v>124</v>
      </c>
      <c r="K20" s="7" t="s">
        <v>91</v>
      </c>
      <c r="L20" s="8" t="s">
        <v>22</v>
      </c>
      <c r="M20" s="6"/>
    </row>
    <row r="21" customFormat="false" ht="15" hidden="false" customHeight="false" outlineLevel="0" collapsed="false">
      <c r="A21" s="10" t="s">
        <v>125</v>
      </c>
      <c r="B21" s="10" t="s">
        <v>83</v>
      </c>
      <c r="C21" s="5" t="s">
        <v>126</v>
      </c>
      <c r="D21" s="5" t="s">
        <v>127</v>
      </c>
      <c r="E21" s="6" t="s">
        <v>101</v>
      </c>
      <c r="F21" s="6" t="s">
        <v>128</v>
      </c>
      <c r="G21" s="6" t="s">
        <v>88</v>
      </c>
      <c r="H21" s="6" t="s">
        <v>50</v>
      </c>
      <c r="I21" s="6" t="s">
        <v>129</v>
      </c>
      <c r="J21" s="6" t="s">
        <v>130</v>
      </c>
      <c r="K21" s="7" t="s">
        <v>91</v>
      </c>
      <c r="L21" s="8" t="s">
        <v>22</v>
      </c>
      <c r="M21" s="5" t="s">
        <v>105</v>
      </c>
    </row>
    <row r="22" customFormat="false" ht="23.85" hidden="false" customHeight="false" outlineLevel="0" collapsed="false">
      <c r="A22" s="10" t="s">
        <v>131</v>
      </c>
      <c r="B22" s="10" t="s">
        <v>83</v>
      </c>
      <c r="C22" s="6" t="s">
        <v>132</v>
      </c>
      <c r="D22" s="6" t="s">
        <v>133</v>
      </c>
      <c r="E22" s="6" t="s">
        <v>86</v>
      </c>
      <c r="F22" s="6" t="s">
        <v>87</v>
      </c>
      <c r="G22" s="6" t="s">
        <v>88</v>
      </c>
      <c r="H22" s="6" t="s">
        <v>50</v>
      </c>
      <c r="I22" s="6" t="s">
        <v>134</v>
      </c>
      <c r="J22" s="6" t="s">
        <v>135</v>
      </c>
      <c r="K22" s="7" t="s">
        <v>91</v>
      </c>
      <c r="L22" s="8" t="s">
        <v>22</v>
      </c>
      <c r="M22" s="6"/>
    </row>
    <row r="23" customFormat="false" ht="15" hidden="false" customHeight="false" outlineLevel="0" collapsed="false">
      <c r="A23" s="10" t="s">
        <v>136</v>
      </c>
      <c r="B23" s="10" t="s">
        <v>83</v>
      </c>
      <c r="C23" s="5" t="s">
        <v>137</v>
      </c>
      <c r="D23" s="5" t="s">
        <v>138</v>
      </c>
      <c r="E23" s="6" t="s">
        <v>86</v>
      </c>
      <c r="F23" s="6" t="s">
        <v>87</v>
      </c>
      <c r="G23" s="6" t="s">
        <v>88</v>
      </c>
      <c r="H23" s="6" t="s">
        <v>50</v>
      </c>
      <c r="I23" s="6" t="s">
        <v>139</v>
      </c>
      <c r="J23" s="6" t="s">
        <v>140</v>
      </c>
      <c r="K23" s="7" t="s">
        <v>91</v>
      </c>
      <c r="L23" s="8" t="s">
        <v>22</v>
      </c>
      <c r="M23" s="6"/>
    </row>
    <row r="24" customFormat="false" ht="15" hidden="false" customHeight="false" outlineLevel="0" collapsed="false">
      <c r="A24" s="10" t="s">
        <v>141</v>
      </c>
      <c r="B24" s="10" t="s">
        <v>83</v>
      </c>
      <c r="C24" s="5" t="s">
        <v>142</v>
      </c>
      <c r="D24" s="5" t="s">
        <v>143</v>
      </c>
      <c r="E24" s="6" t="s">
        <v>86</v>
      </c>
      <c r="F24" s="6" t="s">
        <v>144</v>
      </c>
      <c r="G24" s="6" t="s">
        <v>88</v>
      </c>
      <c r="H24" s="6" t="s">
        <v>50</v>
      </c>
      <c r="I24" s="6" t="s">
        <v>145</v>
      </c>
      <c r="J24" s="6" t="s">
        <v>146</v>
      </c>
      <c r="K24" s="7" t="s">
        <v>91</v>
      </c>
      <c r="L24" s="8" t="s">
        <v>22</v>
      </c>
      <c r="M24" s="5" t="s">
        <v>147</v>
      </c>
    </row>
    <row r="25" customFormat="false" ht="26.85" hidden="false" customHeight="false" outlineLevel="0" collapsed="false">
      <c r="A25" s="10" t="s">
        <v>148</v>
      </c>
      <c r="B25" s="10" t="s">
        <v>83</v>
      </c>
      <c r="C25" s="6" t="s">
        <v>149</v>
      </c>
      <c r="D25" s="6" t="s">
        <v>150</v>
      </c>
      <c r="E25" s="6" t="s">
        <v>86</v>
      </c>
      <c r="F25" s="6" t="s">
        <v>151</v>
      </c>
      <c r="G25" s="6" t="s">
        <v>88</v>
      </c>
      <c r="H25" s="6" t="s">
        <v>50</v>
      </c>
      <c r="I25" s="6" t="s">
        <v>152</v>
      </c>
      <c r="J25" s="6" t="s">
        <v>153</v>
      </c>
      <c r="K25" s="7" t="s">
        <v>91</v>
      </c>
      <c r="L25" s="8" t="s">
        <v>22</v>
      </c>
      <c r="M25" s="5" t="s">
        <v>154</v>
      </c>
    </row>
    <row r="26" customFormat="false" ht="23.85" hidden="false" customHeight="false" outlineLevel="0" collapsed="false">
      <c r="A26" s="10" t="s">
        <v>155</v>
      </c>
      <c r="B26" s="10" t="s">
        <v>83</v>
      </c>
      <c r="C26" s="6" t="s">
        <v>156</v>
      </c>
      <c r="D26" s="6" t="s">
        <v>157</v>
      </c>
      <c r="E26" s="6" t="s">
        <v>86</v>
      </c>
      <c r="F26" s="6" t="s">
        <v>87</v>
      </c>
      <c r="G26" s="6" t="s">
        <v>88</v>
      </c>
      <c r="H26" s="6" t="s">
        <v>50</v>
      </c>
      <c r="I26" s="6" t="s">
        <v>158</v>
      </c>
      <c r="J26" s="6" t="s">
        <v>159</v>
      </c>
      <c r="K26" s="7" t="s">
        <v>91</v>
      </c>
      <c r="L26" s="8" t="s">
        <v>22</v>
      </c>
      <c r="M26" s="5" t="s">
        <v>160</v>
      </c>
    </row>
    <row r="27" customFormat="false" ht="26.85" hidden="false" customHeight="false" outlineLevel="0" collapsed="false">
      <c r="A27" s="10" t="s">
        <v>161</v>
      </c>
      <c r="B27" s="10" t="s">
        <v>83</v>
      </c>
      <c r="C27" s="5" t="s">
        <v>162</v>
      </c>
      <c r="D27" s="5" t="s">
        <v>163</v>
      </c>
      <c r="E27" s="6" t="s">
        <v>86</v>
      </c>
      <c r="F27" s="6" t="s">
        <v>109</v>
      </c>
      <c r="G27" s="6" t="s">
        <v>88</v>
      </c>
      <c r="H27" s="6" t="s">
        <v>50</v>
      </c>
      <c r="I27" s="6" t="s">
        <v>164</v>
      </c>
      <c r="J27" s="6" t="s">
        <v>165</v>
      </c>
      <c r="K27" s="7" t="s">
        <v>91</v>
      </c>
      <c r="L27" s="8" t="s">
        <v>22</v>
      </c>
      <c r="M27" s="6"/>
    </row>
  </sheetData>
  <autoFilter ref="A1:M27"/>
  <hyperlinks>
    <hyperlink ref="K2" r:id="rId1" display="https://www.law.go.kr"/>
    <hyperlink ref="K3" r:id="rId2" display="https://www.law.go.kr"/>
    <hyperlink ref="K4" r:id="rId3" display="https://www.law.go.kr"/>
    <hyperlink ref="K5" r:id="rId4" display="https://www.law.go.kr"/>
    <hyperlink ref="K6" r:id="rId5" display="https://www.law.go.kr"/>
    <hyperlink ref="K7" r:id="rId6" display="https://www.kosha.or.kr"/>
    <hyperlink ref="K8" r:id="rId7" display="https://www.kosha.or.kr"/>
    <hyperlink ref="K9" r:id="rId8" display="https://www.kosha.or.kr"/>
    <hyperlink ref="K10" r:id="rId9" display="https://www.kosha.or.kr"/>
    <hyperlink ref="K11" r:id="rId10" display="https://www.kosha.or.kr"/>
    <hyperlink ref="K12" r:id="rId11" display="https://www.kosha.or.kr"/>
    <hyperlink ref="K13" r:id="rId12" display="https://www.kosha.or.kr"/>
    <hyperlink ref="K14" r:id="rId13" display="https://www.kosha.or.kr"/>
    <hyperlink ref="K15" r:id="rId14" display="https://www.sigmaaldrich.com/KR/ko"/>
    <hyperlink ref="K16" r:id="rId15" display="https://www.sigmaaldrich.com/KR/ko"/>
    <hyperlink ref="K17" r:id="rId16" display="https://www.sigmaaldrich.com/KR/ko"/>
    <hyperlink ref="K18" r:id="rId17" display="https://www.sigmaaldrich.com/KR/ko"/>
    <hyperlink ref="K19" r:id="rId18" display="https://www.sigmaaldrich.com/KR/ko"/>
    <hyperlink ref="K20" r:id="rId19" display="https://www.sigmaaldrich.com/KR/ko"/>
    <hyperlink ref="K21" r:id="rId20" display="https://www.sigmaaldrich.com/KR/ko"/>
    <hyperlink ref="K22" r:id="rId21" display="https://www.sigmaaldrich.com/KR/ko"/>
    <hyperlink ref="K23" r:id="rId22" display="https://www.sigmaaldrich.com/KR/ko"/>
    <hyperlink ref="K24" r:id="rId23" display="https://www.sigmaaldrich.com/KR/ko"/>
    <hyperlink ref="K25" r:id="rId24" display="https://www.sigmaaldrich.com/KR/ko"/>
    <hyperlink ref="K26" r:id="rId25" display="https://www.sigmaaldrich.com/KR/ko"/>
    <hyperlink ref="K27" r:id="rId26" display="https://www.sigmaaldrich.com/KR/k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1" t="s">
        <v>166</v>
      </c>
    </row>
    <row r="3" customFormat="false" ht="15" hidden="false" customHeight="false" outlineLevel="0" collapsed="false">
      <c r="A3" s="12" t="s">
        <v>1</v>
      </c>
      <c r="B3" s="12" t="s">
        <v>167</v>
      </c>
      <c r="C3" s="12" t="s">
        <v>168</v>
      </c>
      <c r="D3" s="12" t="s">
        <v>169</v>
      </c>
    </row>
    <row r="4" customFormat="false" ht="15" hidden="false" customHeight="false" outlineLevel="0" collapsed="false">
      <c r="A4" s="13" t="s">
        <v>14</v>
      </c>
      <c r="B4" s="13" t="n">
        <f aca="false">COUNTIF(출처표!$B$2:$B$27,A4)</f>
        <v>5</v>
      </c>
      <c r="C4" s="13" t="n">
        <f aca="false">COUNTIFS(출처표!$B$2:$B$27,A4,출처표!$L$2:$L$27,"적재 완료")</f>
        <v>0</v>
      </c>
      <c r="D4" s="14" t="n">
        <f aca="false">IF(B4=0,0,C4/B4)</f>
        <v>0</v>
      </c>
    </row>
    <row r="5" customFormat="false" ht="15" hidden="false" customHeight="false" outlineLevel="0" collapsed="false">
      <c r="A5" s="15" t="s">
        <v>45</v>
      </c>
      <c r="B5" s="15" t="n">
        <f aca="false">COUNTIF(출처표!$B$2:$B$27,A5)</f>
        <v>8</v>
      </c>
      <c r="C5" s="15" t="n">
        <f aca="false">COUNTIFS(출처표!$B$2:$B$27,A5,출처표!$L$2:$L$27,"적재 완료")</f>
        <v>0</v>
      </c>
      <c r="D5" s="14" t="n">
        <f aca="false">IF(B5=0,0,C5/B5)</f>
        <v>0</v>
      </c>
    </row>
    <row r="6" customFormat="false" ht="15" hidden="false" customHeight="false" outlineLevel="0" collapsed="false">
      <c r="A6" s="15" t="s">
        <v>83</v>
      </c>
      <c r="B6" s="15" t="n">
        <f aca="false">COUNTIF(출처표!$B$2:$B$27,A6)</f>
        <v>13</v>
      </c>
      <c r="C6" s="15" t="n">
        <f aca="false">COUNTIFS(출처표!$B$2:$B$27,A6,출처표!$L$2:$L$27,"적재 완료")</f>
        <v>0</v>
      </c>
      <c r="D6" s="14" t="n">
        <f aca="false">IF(B6=0,0,C6/B6)</f>
        <v>0</v>
      </c>
    </row>
    <row r="7" customFormat="false" ht="15" hidden="false" customHeight="false" outlineLevel="0" collapsed="false">
      <c r="A7" s="16" t="s">
        <v>170</v>
      </c>
      <c r="B7" s="16" t="n">
        <f aca="false">SUM(B4:B6)</f>
        <v>26</v>
      </c>
      <c r="C7" s="16" t="n">
        <f aca="false">SUM(C4:C6)</f>
        <v>0</v>
      </c>
      <c r="D7" s="17" t="n">
        <f aca="false">IF(B7=0,0,C7/B7)</f>
        <v>0</v>
      </c>
    </row>
    <row r="9" customFormat="false" ht="15" hidden="false" customHeight="false" outlineLevel="0" collapsed="false">
      <c r="A9" s="18" t="s">
        <v>171</v>
      </c>
    </row>
    <row r="10" customFormat="false" ht="15" hidden="false" customHeight="false" outlineLevel="0" collapsed="false">
      <c r="A10" s="19" t="s">
        <v>172</v>
      </c>
    </row>
    <row r="11" customFormat="false" ht="15" hidden="false" customHeight="false" outlineLevel="0" collapsed="false">
      <c r="A11" s="18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2026-10-23T01:42:47Z</dcterms:created>
  <dc:creator>openpyxl</dc:creator>
  <dc:description/>
  <dc:language>en-US</dc:language>
  <cp:lastModifiedBy/>
  <dcterms:modified xsi:type="dcterms:W3CDTF">2026-10-23T01:42:47Z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